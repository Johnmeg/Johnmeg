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rga_Ingresos" sheetId="2" state="visible" r:id="rId4"/>
    <sheet name="Carga_Gastos" sheetId="3" state="visible" r:id="rId5"/>
    <sheet name="Carga_EEFF" sheetId="4" state="visible" r:id="rId6"/>
    <sheet name="Carga_Plana" sheetId="5" state="visible" r:id="rId7"/>
    <sheet name="PyG" sheetId="6" state="visible" r:id="rId8"/>
    <sheet name="Balance" sheetId="7" state="visible" r:id="rId9"/>
    <sheet name="Flujo_Caja" sheetId="8" state="visible" r:id="rId10"/>
    <sheet name="Supuestos" sheetId="9" state="visible" r:id="rId11"/>
    <sheet name="List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<sst xmlns="http://schemas.openxmlformats.org/spreadsheetml/2006/main" count="708" uniqueCount="277">
  <si>
    <t xml:space="preserve">Plantillas de carga para el add-in de SAC y reportes financieros – FANALCA</t>
  </si>
  <si>
    <t xml:space="preserve">Libro de ejemplo. Los miembros, IDs de modelo y cifras son ilustrativos: reemplácelos por los de sus modelos.</t>
  </si>
  <si>
    <t xml:space="preserve">Contenido del libro</t>
  </si>
  <si>
    <t xml:space="preserve">Carga_Ingresos</t>
  </si>
  <si>
    <t xml:space="preserve">Plantilla del modelo Ingresos FANALCA: UNIDADES y PRECIO por sociedad, Cebe, cliente y referencia, mes a mes.</t>
  </si>
  <si>
    <t xml:space="preserve">Carga_Gastos</t>
  </si>
  <si>
    <t xml:space="preserve">Plantilla del modelo Gastos FANALCA: gasto por sociedad, centro de costo, Cebe y cuenta.</t>
  </si>
  <si>
    <t xml:space="preserve">Carga_EEFF</t>
  </si>
  <si>
    <t xml:space="preserve">Balance proyectado en el formato del modelo EEFF FANALCA, listo para publicar.</t>
  </si>
  <si>
    <t xml:space="preserve">Carga_Plana</t>
  </si>
  <si>
    <t xml:space="preserve">Formato plano (una fila por mes) para el botón de carga de archivos de una historia o el Cargador de datos a SAC.</t>
  </si>
  <si>
    <t xml:space="preserve">PyG</t>
  </si>
  <si>
    <t xml:space="preserve">Estado de resultados mensual 2026 con márgenes.</t>
  </si>
  <si>
    <t xml:space="preserve">Balance</t>
  </si>
  <si>
    <t xml:space="preserve">Balance general mensual con control de cuadre.</t>
  </si>
  <si>
    <t xml:space="preserve">Flujo_Caja</t>
  </si>
  <si>
    <t xml:space="preserve">Flujo de caja por el método indirecto, conciliado con la caja del balance.</t>
  </si>
  <si>
    <t xml:space="preserve">Supuestos</t>
  </si>
  <si>
    <t xml:space="preserve">Parámetros de costo, capital de trabajo, inversión, deuda, impuestos y balance de apertura.</t>
  </si>
  <si>
    <t xml:space="preserve">Listas</t>
  </si>
  <si>
    <t xml:space="preserve">Miembros de las dimensiones que alimentan las listas desplegables.</t>
  </si>
  <si>
    <t xml:space="preserve">Convenciones de color</t>
  </si>
  <si>
    <t xml:space="preserve">123.456</t>
  </si>
  <si>
    <t xml:space="preserve">Amarillo con texto azul: valor que usted digita o pega en la tabla del add-in.</t>
  </si>
  <si>
    <t xml:space="preserve">FN_MOTOS</t>
  </si>
  <si>
    <t xml:space="preserve">Gris: miembros de las dimensiones (filas de la tabla del add-in).</t>
  </si>
  <si>
    <t xml:space="preserve">Vínculo</t>
  </si>
  <si>
    <t xml:space="preserve">Texto verde: valor que viene de otra hoja del libro.</t>
  </si>
  <si>
    <t xml:space="preserve">Fórmula</t>
  </si>
  <si>
    <t xml:space="preserve">Texto negro: fórmula. Gris cursiva: cálculo de referencia que SAC hace por su cuenta (no se publica).</t>
  </si>
  <si>
    <t xml:space="preserve">Cargar datos con el add-in de SAC para Excel</t>
  </si>
  <si>
    <t xml:space="preserve">1. Conectar</t>
  </si>
  <si>
    <t xml:space="preserve">En Excel: pestaña SAP Analytics Cloud → Iniciar sesión con la URL de su tenant (por ejemplo https://fanalca.us10.hcs.cloud.sap).</t>
  </si>
  <si>
    <t xml:space="preserve">2. Insertar tabla</t>
  </si>
  <si>
    <t xml:space="preserve">Insertar → Tabla → elija el modelo (Ingresos, Gastos o EEFF FANALCA). Ponga en filas las dimensiones de la plantilla y en columnas Date (meses de 2026).</t>
  </si>
  <si>
    <t xml:space="preserve">3. Filtrar</t>
  </si>
  <si>
    <t xml:space="preserve">En el panel del diseñador fije la versión (por ejemplo public.Presupuesto_2026), Auditoria y Moneda como en el encabezado de la plantilla.</t>
  </si>
  <si>
    <t xml:space="preserve">4. Habilitar planificación</t>
  </si>
  <si>
    <t xml:space="preserve">Menú contextual del modelo en el panel → Planificación habilitada. Sin esto las celdas no aceptan valores.</t>
  </si>
  <si>
    <t xml:space="preserve">5. Pegar valores</t>
  </si>
  <si>
    <t xml:space="preserve">Copie las celdas amarillas y péguelas con Pegado especial → Valores en las mismas posiciones de la tabla. Si una combinación no existe aún, agréguela con "Agregar miembro" en la tabla (datos no reservados).</t>
  </si>
  <si>
    <t xml:space="preserve">6. Publicar</t>
  </si>
  <si>
    <t xml:space="preserve">SAP Analytics Cloud → Publicar datos (o Guardar datos en la versión). Revise que no queden celdas rechazadas por bloqueos o control de acceso.</t>
  </si>
  <si>
    <t xml:space="preserve">7. Calcular</t>
  </si>
  <si>
    <t xml:space="preserve">Si el modelo tiene data actions (por ejemplo el PxQ de ingresos), ejecútelas desde la historia o la multi action para calcular los derivados.</t>
  </si>
  <si>
    <t xml:space="preserve">Permisos que necesita el usuario (licencia Planning Standard)</t>
  </si>
  <si>
    <t xml:space="preserve">Rol</t>
  </si>
  <si>
    <t xml:space="preserve">Copia de Planner Reporter. Planning Model: Leer + Mantener + Ejecutar. No marcar Crear, Actualizar ni Eliminar (son de Planning Professional).</t>
  </si>
  <si>
    <t xml:space="preserve">Add-in Workbook</t>
  </si>
  <si>
    <t xml:space="preserve">Leer para usar libros guardados; Crear + Leer + Actualizar para crear y guardar libros en el repositorio de SAC.</t>
  </si>
  <si>
    <t xml:space="preserve">Modelo</t>
  </si>
  <si>
    <t xml:space="preserve">Compartido con el equipo con acceso de edición (Leer, Actualizar, Mantener).</t>
  </si>
  <si>
    <t xml:space="preserve">Datos</t>
  </si>
  <si>
    <t xml:space="preserve">Permiso de escritura en el control de acceso a datos de Sociedades / Cebes, celdas sin bloqueo y versión editable.</t>
  </si>
  <si>
    <t xml:space="preserve">Carga de archivos</t>
  </si>
  <si>
    <t xml:space="preserve">Para usar Carga_Plana con el botón de carga de una historia: Personal Data Acquisition = Ejecutar y un trabajo de carga creado por el modelador.</t>
  </si>
  <si>
    <t xml:space="preserve">Cómo se conectan los reportes</t>
  </si>
  <si>
    <t xml:space="preserve">Ingresos = suma de ING_VENTAS_NAL (unidades × precio) por sociedad. Gastos por grupo de cuenta (51 administración, 52 ventas). Costo, depreciación, intereses e impuesto con los supuestos.</t>
  </si>
  <si>
    <t xml:space="preserve">Cartera, inventarios y proveedores por días de rotación; PP&amp;E con la inversión mensual; deuda con la amortización; patrimonio con la utilidad del P&amp;L. La caja sale del flujo.</t>
  </si>
  <si>
    <t xml:space="preserve">Utilidad neta + depreciación − variaciones de capital de trabajo − inversión ± deuda. La caja final debe igualar la del balance; la fila de control del balance debe quedar en 0.</t>
  </si>
  <si>
    <t xml:space="preserve">Plantilla de carga: Ingresos FANALCA (add-in de SAC para Excel)</t>
  </si>
  <si>
    <t xml:space="preserve">Filas = Sociedades × Cebes × Clientes × Referencias × Ratio. Columnas = Date (mes). Digite UNIDADES y PRECIO; el ingreso lo calcula el data action PxQ en SAC.</t>
  </si>
  <si>
    <t xml:space="preserve">Fuente de datos (add-in)</t>
  </si>
  <si>
    <t xml:space="preserve">Modelo Ingresos FANALCA  (Couh7ojg5e54rh2d4udijq6o83k)</t>
  </si>
  <si>
    <t xml:space="preserve">Versión</t>
  </si>
  <si>
    <t xml:space="preserve">public.Presupuesto_2026</t>
  </si>
  <si>
    <t xml:space="preserve">Auditoria</t>
  </si>
  <si>
    <t xml:space="preserve">PRESUPUESTO_EXCEL</t>
  </si>
  <si>
    <t xml:space="preserve">Moneda</t>
  </si>
  <si>
    <t xml:space="preserve">COP</t>
  </si>
  <si>
    <t xml:space="preserve">Sociedades</t>
  </si>
  <si>
    <t xml:space="preserve">Cebes</t>
  </si>
  <si>
    <t xml:space="preserve">Clientes</t>
  </si>
  <si>
    <t xml:space="preserve">Referencias</t>
  </si>
  <si>
    <t xml:space="preserve">Ratio</t>
  </si>
  <si>
    <t xml:space="preserve">Ene 2026</t>
  </si>
  <si>
    <t xml:space="preserve">Feb 2026</t>
  </si>
  <si>
    <t xml:space="preserve">Mar 2026</t>
  </si>
  <si>
    <t xml:space="preserve">Abr 2026</t>
  </si>
  <si>
    <t xml:space="preserve">May 2026</t>
  </si>
  <si>
    <t xml:space="preserve">Jun 2026</t>
  </si>
  <si>
    <t xml:space="preserve">Jul 2026</t>
  </si>
  <si>
    <t xml:space="preserve">Ago 2026</t>
  </si>
  <si>
    <t xml:space="preserve">Sep 2026</t>
  </si>
  <si>
    <t xml:space="preserve">Oct 2026</t>
  </si>
  <si>
    <t xml:space="preserve">Nov 2026</t>
  </si>
  <si>
    <t xml:space="preserve">Dic 2026</t>
  </si>
  <si>
    <t xml:space="preserve">Total 2026</t>
  </si>
  <si>
    <t xml:space="preserve">CB_MOTOS</t>
  </si>
  <si>
    <t xml:space="preserve">CLI_001</t>
  </si>
  <si>
    <t xml:space="preserve">REF_CB125</t>
  </si>
  <si>
    <t xml:space="preserve">UNIDADES</t>
  </si>
  <si>
    <t xml:space="preserve">PRECIO</t>
  </si>
  <si>
    <t xml:space="preserve">ING_VENTAS_NAL</t>
  </si>
  <si>
    <t xml:space="preserve">CLI_003</t>
  </si>
  <si>
    <t xml:space="preserve">REF_XR190</t>
  </si>
  <si>
    <t xml:space="preserve">FN_AUTOS</t>
  </si>
  <si>
    <t xml:space="preserve">CB_AUTOS</t>
  </si>
  <si>
    <t xml:space="preserve">CLI_004</t>
  </si>
  <si>
    <t xml:space="preserve">REF_CIVIC</t>
  </si>
  <si>
    <t xml:space="preserve">CLI_005</t>
  </si>
  <si>
    <t xml:space="preserve">REF_HRV</t>
  </si>
  <si>
    <t xml:space="preserve">FN_TUBOS</t>
  </si>
  <si>
    <t xml:space="preserve">CB_TUBERIA</t>
  </si>
  <si>
    <t xml:space="preserve">CLI_002</t>
  </si>
  <si>
    <t xml:space="preserve">REF_TUBO_2P</t>
  </si>
  <si>
    <t xml:space="preserve">CLI_006</t>
  </si>
  <si>
    <t xml:space="preserve">REF_TUBO_4P</t>
  </si>
  <si>
    <t xml:space="preserve">Notas</t>
  </si>
  <si>
    <t xml:space="preserve">1. Celdas amarillas (texto azul): valores para digitar o pegar en la tabla del add-in. Columnas grises: miembros de las dimensiones.</t>
  </si>
  <si>
    <t xml:space="preserve">2. Las filas ING_VENTAS_NAL (gris cursiva) muestran el PxQ como referencia: no las publique, el data action PxQ las calcula en SAC.</t>
  </si>
  <si>
    <t xml:space="preserve">3. "Total 2026" lo calcula SAC; en el add-in no se escribe sobre totales. PRECIO total = precio promedio ponderado.</t>
  </si>
  <si>
    <t xml:space="preserve">4. Si su tabla del add-in tiene otro orden de filas o columnas, pegue con Pegado especial → Valores respetando ese orden.</t>
  </si>
  <si>
    <t xml:space="preserve">Plantilla de carga: Gastos FANALCA (add-in de SAC para Excel)</t>
  </si>
  <si>
    <t xml:space="preserve">Filas = Sociedades × Cecos × Cebes × Cuentas_Egresos. Columnas = Date (mes). Valores en COP.</t>
  </si>
  <si>
    <t xml:space="preserve">Modelo Gastos FANALCA  (Cunejii8r2d7vr4ldq2ousgfg7f)</t>
  </si>
  <si>
    <t xml:space="preserve">Cecos</t>
  </si>
  <si>
    <t xml:space="preserve">Cuentas_Egresos</t>
  </si>
  <si>
    <t xml:space="preserve">Grupo P&amp;L (ayuda, no se publica)</t>
  </si>
  <si>
    <t xml:space="preserve">CC_PLANTA</t>
  </si>
  <si>
    <t xml:space="preserve">5105_SALARIOS</t>
  </si>
  <si>
    <t xml:space="preserve">5145_MANTENIMIENTO</t>
  </si>
  <si>
    <t xml:space="preserve">CC_VENTAS</t>
  </si>
  <si>
    <t xml:space="preserve">5205_SALARIOS_VENTAS</t>
  </si>
  <si>
    <t xml:space="preserve">5235_PUBLICIDAD</t>
  </si>
  <si>
    <t xml:space="preserve">CC_LOGISTICA</t>
  </si>
  <si>
    <t xml:space="preserve">5250_FLETES</t>
  </si>
  <si>
    <t xml:space="preserve">CC_ADMIN</t>
  </si>
  <si>
    <t xml:space="preserve">5110_HONORARIOS</t>
  </si>
  <si>
    <t xml:space="preserve">5135_SERVICIOS</t>
  </si>
  <si>
    <t xml:space="preserve">CB_CORPORATIVO</t>
  </si>
  <si>
    <t xml:space="preserve">Total gastos</t>
  </si>
  <si>
    <t xml:space="preserve">1. La columna "Grupo P&amp;L" sale de la propiedad de la cuenta (hoja Listas) y solo sirve para armar el P&amp;L de este libro; no existe en la tabla del add-in.</t>
  </si>
  <si>
    <t xml:space="preserve">2. La fila "Total gastos" es de control: en SAC los totales los calcula el modelo.</t>
  </si>
  <si>
    <t xml:space="preserve">3. Diciembre incluye la prima de servicios en 5105_SALARIOS (+50 %).</t>
  </si>
  <si>
    <t xml:space="preserve">Plantilla de carga: EEFF FANALCA (add-in de SAC para Excel)</t>
  </si>
  <si>
    <t xml:space="preserve">Balance proyectado en el formato del modelo EEFF: Cuentas_EF en filas, meses en columnas, COP. Pasivo y patrimonio con signo negativo (crédito), como en el modelo.</t>
  </si>
  <si>
    <t xml:space="preserve">Modelo EEFF FANALCA  (C2kgen7fqc13vleoibl06hk4j7o)</t>
  </si>
  <si>
    <t xml:space="preserve">CALCULADO_DA</t>
  </si>
  <si>
    <t xml:space="preserve">Cuentas_EF</t>
  </si>
  <si>
    <t xml:space="preserve">Descripción</t>
  </si>
  <si>
    <t xml:space="preserve">Tipo</t>
  </si>
  <si>
    <t xml:space="preserve">1105_CAJA</t>
  </si>
  <si>
    <t xml:space="preserve">Efectivo y equivalentes</t>
  </si>
  <si>
    <t xml:space="preserve">Activo</t>
  </si>
  <si>
    <t xml:space="preserve">1305_CLIENTES</t>
  </si>
  <si>
    <t xml:space="preserve">Cuentas por cobrar clientes</t>
  </si>
  <si>
    <t xml:space="preserve">1435_INVENTARIOS</t>
  </si>
  <si>
    <t xml:space="preserve">Inventarios</t>
  </si>
  <si>
    <t xml:space="preserve">1520_PPE</t>
  </si>
  <si>
    <t xml:space="preserve">Propiedad, planta y equipo (bruto)</t>
  </si>
  <si>
    <t xml:space="preserve">1592_DEP_ACUMULADA</t>
  </si>
  <si>
    <t xml:space="preserve">Depreciación acumulada</t>
  </si>
  <si>
    <t xml:space="preserve">2105_OBLIGACIONES_FIN</t>
  </si>
  <si>
    <t xml:space="preserve">Obligaciones financieras</t>
  </si>
  <si>
    <t xml:space="preserve">Pasivo</t>
  </si>
  <si>
    <t xml:space="preserve">2205_PROVEEDORES</t>
  </si>
  <si>
    <t xml:space="preserve">Proveedores</t>
  </si>
  <si>
    <t xml:space="preserve">2404_IMPUESTO_RENTA</t>
  </si>
  <si>
    <t xml:space="preserve">Impuesto de renta por pagar</t>
  </si>
  <si>
    <t xml:space="preserve">3105_CAPITAL</t>
  </si>
  <si>
    <t xml:space="preserve">Capital suscrito y pagado</t>
  </si>
  <si>
    <t xml:space="preserve">Patrimonio</t>
  </si>
  <si>
    <t xml:space="preserve">3705_UTILIDADES_ACUM</t>
  </si>
  <si>
    <t xml:space="preserve">Utilidades acumuladas</t>
  </si>
  <si>
    <t xml:space="preserve">3605_UTILIDAD_EJERCICIO</t>
  </si>
  <si>
    <t xml:space="preserve">Utilidad del ejercicio</t>
  </si>
  <si>
    <t xml:space="preserve">Control: suma debe ser 0</t>
  </si>
  <si>
    <t xml:space="preserve">1. Los valores (texto verde) vienen de la hoja Balance: copie y pegue como valores en la tabla del add-in conectada al modelo EEFF.</t>
  </si>
  <si>
    <t xml:space="preserve">2. Ajuste Sociedades y Cebes del encabezado al miembro donde se registra el consolidado en su modelo.</t>
  </si>
  <si>
    <t xml:space="preserve">3. Si el modelo EEFF calcula la utilidad del ejercicio con un data action, no publique la fila 3605.</t>
  </si>
  <si>
    <t xml:space="preserve">Formato plano: botón de carga de archivos (data upload starter) o Cargador de datos a SAC</t>
  </si>
  <si>
    <t xml:space="preserve">Una fila por combinación y mes, con la medida en una sola columna. Los encabezados deben coincidir con los de la plantilla del trabajo de carga en SAC.</t>
  </si>
  <si>
    <t xml:space="preserve">Date</t>
  </si>
  <si>
    <t xml:space="preserve">Importe</t>
  </si>
  <si>
    <t xml:space="preserve">202601</t>
  </si>
  <si>
    <t xml:space="preserve">202602</t>
  </si>
  <si>
    <t xml:space="preserve">1. Date en formato AAAAMM como texto (202601). La versión no va en el archivo: se elige al cargar.</t>
  </si>
  <si>
    <t xml:space="preserve">2. Los importes (verde) se toman de Carga_Ingresos para el ejemplo; en un archivo real van como valores.</t>
  </si>
  <si>
    <t xml:space="preserve">3. El botón de carga de SAC exige las mismas columnas y encabezados que el archivo de muestra con que el modelador creó el trabajo de carga.</t>
  </si>
  <si>
    <t xml:space="preserve">4. Este mismo formato lo acepta el Cargador de datos a SAC (encabezados = nombres de las dimensiones).</t>
  </si>
  <si>
    <t xml:space="preserve">Estado de resultados (P&amp;L) 2026 – FANALCA consolidado</t>
  </si>
  <si>
    <t xml:space="preserve">Millones de COP. Ingresos y gastos vienen de las plantillas de carga; costo, depreciación, intereses e impuesto de la hoja Supuestos.</t>
  </si>
  <si>
    <t xml:space="preserve">Código</t>
  </si>
  <si>
    <t xml:space="preserve">Concepto</t>
  </si>
  <si>
    <t xml:space="preserve">Ingresos operacionales</t>
  </si>
  <si>
    <t xml:space="preserve">Ventas Motos</t>
  </si>
  <si>
    <t xml:space="preserve">Ventas Autos</t>
  </si>
  <si>
    <t xml:space="preserve">Ventas Tubos</t>
  </si>
  <si>
    <t xml:space="preserve">41</t>
  </si>
  <si>
    <t xml:space="preserve">Total ingresos</t>
  </si>
  <si>
    <t xml:space="preserve">61</t>
  </si>
  <si>
    <t xml:space="preserve">Costo de ventas</t>
  </si>
  <si>
    <t xml:space="preserve">Utilidad bruta</t>
  </si>
  <si>
    <t xml:space="preserve">Margen bruto</t>
  </si>
  <si>
    <t xml:space="preserve">Gastos operacionales</t>
  </si>
  <si>
    <t xml:space="preserve">51</t>
  </si>
  <si>
    <t xml:space="preserve">Gastos de administración</t>
  </si>
  <si>
    <t xml:space="preserve">52</t>
  </si>
  <si>
    <t xml:space="preserve">Gastos de ventas</t>
  </si>
  <si>
    <t xml:space="preserve">EBITDA</t>
  </si>
  <si>
    <t xml:space="preserve">Margen EBITDA</t>
  </si>
  <si>
    <t xml:space="preserve">5160</t>
  </si>
  <si>
    <t xml:space="preserve">Depreciación</t>
  </si>
  <si>
    <t xml:space="preserve">Utilidad operacional (EBIT)</t>
  </si>
  <si>
    <t xml:space="preserve">5305</t>
  </si>
  <si>
    <t xml:space="preserve">Gastos financieros (intereses)</t>
  </si>
  <si>
    <t xml:space="preserve">Utilidad antes de impuestos</t>
  </si>
  <si>
    <t xml:space="preserve">5405</t>
  </si>
  <si>
    <t xml:space="preserve">Impuesto de renta</t>
  </si>
  <si>
    <t xml:space="preserve">Utilidad neta</t>
  </si>
  <si>
    <t xml:space="preserve">Margen neto</t>
  </si>
  <si>
    <t xml:space="preserve">Balance general 2026 – FANALCA consolidado</t>
  </si>
  <si>
    <t xml:space="preserve">Millones de COP, saldos al cierre de cada mes. La caja viene del flujo de caja; las demás cuentas de los supuestos de capital de trabajo, inversión y deuda.</t>
  </si>
  <si>
    <t xml:space="preserve">Dic 2025</t>
  </si>
  <si>
    <t xml:space="preserve">Total activo</t>
  </si>
  <si>
    <t xml:space="preserve">Total pasivo</t>
  </si>
  <si>
    <t xml:space="preserve">Utilidad del ejercicio (acumulada en el año)</t>
  </si>
  <si>
    <t xml:space="preserve">Total patrimonio</t>
  </si>
  <si>
    <t xml:space="preserve">Total pasivo y patrimonio</t>
  </si>
  <si>
    <t xml:space="preserve">Control: activo − pasivo − patrimonio (debe ser 0)</t>
  </si>
  <si>
    <t xml:space="preserve">Flujo de caja 2026 (método indirecto) – FANALCA consolidado</t>
  </si>
  <si>
    <t xml:space="preserve">Millones de COP. Parte de la utilidad neta del P&amp;L y de las variaciones del balance; la caja final alimenta el balance.</t>
  </si>
  <si>
    <t xml:space="preserve">Actividades de operación</t>
  </si>
  <si>
    <t xml:space="preserve">(+) Depreciación</t>
  </si>
  <si>
    <t xml:space="preserve">(−) Aumento de cuentas por cobrar</t>
  </si>
  <si>
    <t xml:space="preserve">(−) Aumento de inventarios</t>
  </si>
  <si>
    <t xml:space="preserve">(+) Aumento de proveedores</t>
  </si>
  <si>
    <t xml:space="preserve">(+) Aumento de impuestos por pagar</t>
  </si>
  <si>
    <t xml:space="preserve">Flujo de caja de operación</t>
  </si>
  <si>
    <t xml:space="preserve">Actividades de inversión</t>
  </si>
  <si>
    <t xml:space="preserve">(−) Compras de propiedad, planta y equipo</t>
  </si>
  <si>
    <t xml:space="preserve">Flujo de caja de inversión</t>
  </si>
  <si>
    <t xml:space="preserve">Actividades de financiación</t>
  </si>
  <si>
    <t xml:space="preserve">(+/−) Variación de obligaciones financieras</t>
  </si>
  <si>
    <t xml:space="preserve">Flujo de caja de financiación</t>
  </si>
  <si>
    <t xml:space="preserve">Variación neta del efectivo</t>
  </si>
  <si>
    <t xml:space="preserve">Efectivo al inicio del mes</t>
  </si>
  <si>
    <t xml:space="preserve">Efectivo al cierre del mes</t>
  </si>
  <si>
    <t xml:space="preserve">Supuestos de los reportes</t>
  </si>
  <si>
    <t xml:space="preserve">Celdas amarillas con texto azul: valores que usted puede cambiar. Todo lo demás se calcula.</t>
  </si>
  <si>
    <t xml:space="preserve">Supuesto</t>
  </si>
  <si>
    <t xml:space="preserve">Valor</t>
  </si>
  <si>
    <t xml:space="preserve">Nota</t>
  </si>
  <si>
    <t xml:space="preserve">Escala de los reportes (COP por unidad)</t>
  </si>
  <si>
    <t xml:space="preserve">Los reportes se muestran en millones de COP; las plantillas de carga van en COP.</t>
  </si>
  <si>
    <t xml:space="preserve">Costo de ventas (% de los ingresos)</t>
  </si>
  <si>
    <t xml:space="preserve">Supuesto de ejemplo. En SAC suele venir del modelo de costos o de un data action.</t>
  </si>
  <si>
    <t xml:space="preserve">Tasa de impuesto de renta</t>
  </si>
  <si>
    <t xml:space="preserve">Tarifa general de renta en Colombia (35 %). Ajuste según su caso.</t>
  </si>
  <si>
    <t xml:space="preserve">Días de cartera (sobre ingresos)</t>
  </si>
  <si>
    <t xml:space="preserve">Días de inventario (sobre costo de ventas)</t>
  </si>
  <si>
    <t xml:space="preserve">Días de proveedores (sobre costo de ventas)</t>
  </si>
  <si>
    <t xml:space="preserve">Inversión en PP&amp;E mensual (millones COP)</t>
  </si>
  <si>
    <t xml:space="preserve">Vida útil de la PP&amp;E (años)</t>
  </si>
  <si>
    <t xml:space="preserve">Depreciación en línea recta sobre el saldo bruto.</t>
  </si>
  <si>
    <t xml:space="preserve">Tasa de interés anual de la deuda</t>
  </si>
  <si>
    <t xml:space="preserve">Amortización mensual de deuda (millones COP)</t>
  </si>
  <si>
    <t xml:space="preserve">Balance de apertura al 31 dic 2025 (millones COP)</t>
  </si>
  <si>
    <t xml:space="preserve">Cuenta</t>
  </si>
  <si>
    <t xml:space="preserve">Saldo</t>
  </si>
  <si>
    <t xml:space="preserve">Depreciación acumulada (negativo)</t>
  </si>
  <si>
    <t xml:space="preserve">Utilidades acumuladas (cuadra la apertura)</t>
  </si>
  <si>
    <t xml:space="preserve">Fórmula: activos − pasivos − capital.</t>
  </si>
  <si>
    <t xml:space="preserve">Listas de miembros (ejemplo)</t>
  </si>
  <si>
    <t xml:space="preserve">Reemplace por los IDs reales de las dimensiones de sus modelos en SAC. Alimentan las listas desplegables de las plantillas.</t>
  </si>
  <si>
    <t xml:space="preserve">Grupo P&amp;L (propiedad)</t>
  </si>
  <si>
    <t xml:space="preserve">Salarios y prestaciones</t>
  </si>
  <si>
    <t xml:space="preserve">MANUAL</t>
  </si>
  <si>
    <t xml:space="preserve">public.Forecast_2026</t>
  </si>
  <si>
    <t xml:space="preserve">Honorarios</t>
  </si>
  <si>
    <t xml:space="preserve">public.PRUEBAS</t>
  </si>
  <si>
    <t xml:space="preserve">Servicios públicos</t>
  </si>
  <si>
    <t xml:space="preserve">Mantenimiento y reparaciones</t>
  </si>
  <si>
    <t xml:space="preserve">Salarios fuerza de ventas</t>
  </si>
  <si>
    <t xml:space="preserve">Publicidad y mercadeo</t>
  </si>
  <si>
    <t xml:space="preserve">Fletes y transporte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</si>
</sst>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#,##0;\(#,##0\);\-"/>
    <numFmt numFmtId="167" formatCode="0.0%;\(0.0%\);\-"/>
    <numFmt numFmtId="168" formatCode="#,##0"/>
    <numFmt numFmtId="169" formatCode="0.0%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B6578"/>
      <name val="Arial"/>
      <family val="0"/>
      <charset val="1"/>
    </font>
    <font>
      <b val="true"/>
      <sz val="12"/>
      <color rgb="FF005EB8"/>
      <name val="Arial"/>
      <family val="0"/>
      <charset val="1"/>
    </font>
    <font>
      <b val="true"/>
      <sz val="10"/>
      <color rgb="FF1D2433"/>
      <name val="Arial"/>
      <family val="0"/>
      <charset val="1"/>
    </font>
    <font>
      <sz val="10"/>
      <color rgb="FF1D24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5EB8"/>
      <name val="Arial"/>
      <family val="0"/>
      <charset val="1"/>
    </font>
    <font>
      <sz val="10"/>
      <color rgb="FF5B65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B6578"/>
      <name val="Arial"/>
      <family val="0"/>
      <charset val="1"/>
    </font>
    <font>
      <sz val="9"/>
      <color rgb="FF5B65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71D49"/>
        <bgColor rgb="FF1D2433"/>
      </patternFill>
    </fill>
    <fill>
      <patternFill patternType="solid">
        <fgColor rgb="FFFFF2CC"/>
        <bgColor rgb="FFF2F4F7"/>
      </patternFill>
    </fill>
    <fill>
      <patternFill patternType="solid">
        <fgColor rgb="FFF2F4F7"/>
        <bgColor rgb="FFE8F2FB"/>
      </patternFill>
    </fill>
    <fill>
      <patternFill patternType="solid">
        <fgColor rgb="FF005EB8"/>
        <bgColor rgb="FF008080"/>
      </patternFill>
    </fill>
    <fill>
      <patternFill patternType="solid">
        <fgColor rgb="FFDCE6F2"/>
        <bgColor rgb="FFD9E2EE"/>
      </patternFill>
    </fill>
    <fill>
      <patternFill patternType="solid">
        <fgColor rgb="FFE8F2FB"/>
        <bgColor rgb="FFF2F4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E2EE"/>
      </left>
      <right style="thin">
        <color rgb="FFD9E2EE"/>
      </right>
      <top style="thin">
        <color rgb="FFD9E2EE"/>
      </top>
      <bottom style="thin">
        <color rgb="FFD9E2EE"/>
      </bottom>
      <diagonal/>
    </border>
    <border diagonalUp="false" diagonalDown="false">
      <left/>
      <right/>
      <top style="thin">
        <color rgb="FF071D49"/>
      </top>
      <bottom style="double">
        <color rgb="FF071D49"/>
      </bottom>
      <diagonal/>
    </border>
    <border diagonalUp="false" diagonalDown="false">
      <left/>
      <right/>
      <top style="thin">
        <color rgb="FF071D4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2FB"/>
      <rgbColor rgb="FF660066"/>
      <rgbColor rgb="FFFF8080"/>
      <rgbColor rgb="FF005EB8"/>
      <rgbColor rgb="FFD9E2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FE7"/>
      <rgbColor rgb="FFDCE6F2"/>
      <rgbColor rgb="FFF2F4F7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9A227"/>
      <rgbColor rgb="FFFF6600"/>
      <rgbColor rgb="FF5B6578"/>
      <rgbColor rgb="FF8A94A6"/>
      <rgbColor rgb="FF071D49"/>
      <rgbColor rgb="FF339966"/>
      <rgbColor rgb="FF003300"/>
      <rgbColor rgb="FF333300"/>
      <rgbColor rgb="FF993300"/>
      <rgbColor rgb="FF993366"/>
      <rgbColor rgb="FF333399"/>
      <rgbColor rgb="FF1D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1D49"/>
    <pageSetUpPr fitToPage="tru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5" t="s">
        <v>3</v>
      </c>
      <c r="B6" s="6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  <row r="12" customFormat="false" ht="15" hidden="false" customHeight="false" outlineLevel="0" collapsed="false">
      <c r="A12" s="5" t="s">
        <v>15</v>
      </c>
      <c r="B12" s="6" t="s">
        <v>16</v>
      </c>
    </row>
    <row r="13" customFormat="false" ht="15" hidden="false" customHeight="false" outlineLevel="0" collapsed="false">
      <c r="A13" s="5" t="s">
        <v>17</v>
      </c>
      <c r="B13" s="6" t="s">
        <v>18</v>
      </c>
    </row>
    <row r="14" customFormat="false" ht="15" hidden="false" customHeight="false" outlineLevel="0" collapsed="false">
      <c r="A14" s="5" t="s">
        <v>19</v>
      </c>
      <c r="B14" s="6" t="s">
        <v>20</v>
      </c>
    </row>
    <row r="16" customFormat="false" ht="15" hidden="false" customHeight="false" outlineLevel="0" collapsed="false">
      <c r="A16" s="4" t="s">
        <v>21</v>
      </c>
    </row>
    <row r="17" customFormat="false" ht="15" hidden="false" customHeight="false" outlineLevel="0" collapsed="false">
      <c r="A17" s="7" t="s">
        <v>22</v>
      </c>
      <c r="B17" s="8" t="s">
        <v>23</v>
      </c>
    </row>
    <row r="18" customFormat="false" ht="15" hidden="false" customHeight="false" outlineLevel="0" collapsed="false">
      <c r="A18" s="9" t="s">
        <v>24</v>
      </c>
      <c r="B18" s="8" t="s">
        <v>25</v>
      </c>
    </row>
    <row r="19" customFormat="false" ht="15" hidden="false" customHeight="false" outlineLevel="0" collapsed="false">
      <c r="A19" s="10" t="s">
        <v>26</v>
      </c>
      <c r="B19" s="8" t="s">
        <v>27</v>
      </c>
    </row>
    <row r="20" customFormat="false" ht="15" hidden="false" customHeight="false" outlineLevel="0" collapsed="false">
      <c r="A20" s="8" t="s">
        <v>28</v>
      </c>
      <c r="B20" s="8" t="s">
        <v>29</v>
      </c>
    </row>
    <row r="22" customFormat="false" ht="15" hidden="false" customHeight="false" outlineLevel="0" collapsed="false">
      <c r="A22" s="4" t="s">
        <v>30</v>
      </c>
    </row>
    <row r="23" customFormat="false" ht="15" hidden="false" customHeight="false" outlineLevel="0" collapsed="false">
      <c r="A23" s="5" t="s">
        <v>31</v>
      </c>
      <c r="B23" s="6" t="s">
        <v>32</v>
      </c>
    </row>
    <row r="24" customFormat="false" ht="15" hidden="false" customHeight="false" outlineLevel="0" collapsed="false">
      <c r="A24" s="5" t="s">
        <v>33</v>
      </c>
      <c r="B24" s="6" t="s">
        <v>34</v>
      </c>
    </row>
    <row r="25" customFormat="false" ht="15" hidden="false" customHeight="false" outlineLevel="0" collapsed="false">
      <c r="A25" s="5" t="s">
        <v>35</v>
      </c>
      <c r="B25" s="6" t="s">
        <v>36</v>
      </c>
    </row>
    <row r="26" customFormat="false" ht="15" hidden="false" customHeight="false" outlineLevel="0" collapsed="false">
      <c r="A26" s="5" t="s">
        <v>37</v>
      </c>
      <c r="B26" s="6" t="s">
        <v>38</v>
      </c>
    </row>
    <row r="27" customFormat="false" ht="23.85" hidden="false" customHeight="false" outlineLevel="0" collapsed="false">
      <c r="A27" s="5" t="s">
        <v>39</v>
      </c>
      <c r="B27" s="6" t="s">
        <v>40</v>
      </c>
    </row>
    <row r="28" customFormat="false" ht="15" hidden="false" customHeight="false" outlineLevel="0" collapsed="false">
      <c r="A28" s="5" t="s">
        <v>41</v>
      </c>
      <c r="B28" s="6" t="s">
        <v>42</v>
      </c>
    </row>
    <row r="29" customFormat="false" ht="15" hidden="false" customHeight="false" outlineLevel="0" collapsed="false">
      <c r="A29" s="5" t="s">
        <v>43</v>
      </c>
      <c r="B29" s="6" t="s">
        <v>44</v>
      </c>
    </row>
    <row r="31" customFormat="false" ht="15" hidden="false" customHeight="false" outlineLevel="0" collapsed="false">
      <c r="A31" s="4" t="s">
        <v>45</v>
      </c>
    </row>
    <row r="32" customFormat="false" ht="15" hidden="false" customHeight="false" outlineLevel="0" collapsed="false">
      <c r="A32" s="5" t="s">
        <v>46</v>
      </c>
      <c r="B32" s="6" t="s">
        <v>47</v>
      </c>
    </row>
    <row r="33" customFormat="false" ht="15" hidden="false" customHeight="false" outlineLevel="0" collapsed="false">
      <c r="A33" s="5" t="s">
        <v>48</v>
      </c>
      <c r="B33" s="6" t="s">
        <v>49</v>
      </c>
    </row>
    <row r="34" customFormat="false" ht="15" hidden="false" customHeight="false" outlineLevel="0" collapsed="false">
      <c r="A34" s="5" t="s">
        <v>50</v>
      </c>
      <c r="B34" s="6" t="s">
        <v>51</v>
      </c>
    </row>
    <row r="35" customFormat="false" ht="15" hidden="false" customHeight="false" outlineLevel="0" collapsed="false">
      <c r="A35" s="5" t="s">
        <v>52</v>
      </c>
      <c r="B35" s="6" t="s">
        <v>53</v>
      </c>
    </row>
    <row r="36" customFormat="false" ht="15" hidden="false" customHeight="false" outlineLevel="0" collapsed="false">
      <c r="A36" s="5" t="s">
        <v>54</v>
      </c>
      <c r="B36" s="6" t="s">
        <v>55</v>
      </c>
    </row>
    <row r="38" customFormat="false" ht="15" hidden="false" customHeight="false" outlineLevel="0" collapsed="false">
      <c r="A38" s="4" t="s">
        <v>56</v>
      </c>
    </row>
    <row r="39" customFormat="false" ht="23.85" hidden="false" customHeight="false" outlineLevel="0" collapsed="false">
      <c r="A39" s="5" t="s">
        <v>11</v>
      </c>
      <c r="B39" s="6" t="s">
        <v>57</v>
      </c>
    </row>
    <row r="40" customFormat="false" ht="23.85" hidden="false" customHeight="false" outlineLevel="0" collapsed="false">
      <c r="A40" s="5" t="s">
        <v>13</v>
      </c>
      <c r="B40" s="6" t="s">
        <v>58</v>
      </c>
    </row>
    <row r="41" customFormat="false" ht="15" hidden="false" customHeight="false" outlineLevel="0" collapsed="false">
      <c r="A41" s="5" t="s">
        <v>15</v>
      </c>
      <c r="B41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FE7"/>
    <pageSetUpPr fitToPage="true"/>
  </sheetPr>
  <dimension ref="A1:T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17" min="6" style="0" width="15"/>
    <col collapsed="false" customWidth="true" hidden="false" outlineLevel="0" max="18" min="18" style="0" width="18"/>
  </cols>
  <sheetData>
    <row r="1" customFormat="false" ht="25.5" hidden="false" customHeight="tru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61</v>
      </c>
    </row>
    <row r="3" customFormat="false" ht="15" hidden="false" customHeight="false" outlineLevel="0" collapsed="false">
      <c r="A3" s="11" t="s">
        <v>62</v>
      </c>
    </row>
    <row r="4" customFormat="false" ht="15" hidden="false" customHeight="false" outlineLevel="0" collapsed="false">
      <c r="A4" s="12" t="s">
        <v>50</v>
      </c>
      <c r="B4" s="13" t="s">
        <v>63</v>
      </c>
    </row>
    <row r="5" customFormat="false" ht="15" hidden="false" customHeight="false" outlineLevel="0" collapsed="false">
      <c r="A5" s="12" t="s">
        <v>64</v>
      </c>
      <c r="B5" s="7" t="s">
        <v>65</v>
      </c>
    </row>
    <row r="6" customFormat="false" ht="15" hidden="false" customHeight="false" outlineLevel="0" collapsed="false">
      <c r="A6" s="12" t="s">
        <v>66</v>
      </c>
      <c r="B6" s="7" t="s">
        <v>67</v>
      </c>
    </row>
    <row r="7" customFormat="false" ht="15" hidden="false" customHeight="false" outlineLevel="0" collapsed="false">
      <c r="A7" s="12" t="s">
        <v>68</v>
      </c>
      <c r="B7" s="7" t="s">
        <v>69</v>
      </c>
    </row>
    <row r="9" customFormat="false" ht="30" hidden="false" customHeight="true" outlineLevel="0" collapsed="false">
      <c r="A9" s="14" t="s">
        <v>70</v>
      </c>
      <c r="B9" s="14" t="s">
        <v>71</v>
      </c>
      <c r="C9" s="14" t="s">
        <v>72</v>
      </c>
      <c r="D9" s="14" t="s">
        <v>73</v>
      </c>
      <c r="E9" s="14" t="s">
        <v>74</v>
      </c>
      <c r="F9" s="14" t="s">
        <v>75</v>
      </c>
      <c r="G9" s="14" t="s">
        <v>76</v>
      </c>
      <c r="H9" s="14" t="s">
        <v>77</v>
      </c>
      <c r="I9" s="14" t="s">
        <v>78</v>
      </c>
      <c r="J9" s="14" t="s">
        <v>79</v>
      </c>
      <c r="K9" s="14" t="s">
        <v>80</v>
      </c>
      <c r="L9" s="14" t="s">
        <v>81</v>
      </c>
      <c r="M9" s="14" t="s">
        <v>82</v>
      </c>
      <c r="N9" s="14" t="s">
        <v>83</v>
      </c>
      <c r="O9" s="14" t="s">
        <v>84</v>
      </c>
      <c r="P9" s="14" t="s">
        <v>85</v>
      </c>
      <c r="Q9" s="14" t="s">
        <v>86</v>
      </c>
      <c r="R9" s="14" t="s">
        <v>87</v>
      </c>
    </row>
    <row r="10" customFormat="false" ht="15" hidden="false" customHeight="false" outlineLevel="0" collapsed="false">
      <c r="A10" s="15" t="s">
        <v>24</v>
      </c>
      <c r="B10" s="16" t="s">
        <v>88</v>
      </c>
      <c r="C10" s="16" t="s">
        <v>89</v>
      </c>
      <c r="D10" s="16" t="s">
        <v>90</v>
      </c>
      <c r="E10" s="16" t="s">
        <v>91</v>
      </c>
      <c r="F10" s="17" t="n">
        <v>1640</v>
      </c>
      <c r="G10" s="17" t="n">
        <v>1720</v>
      </c>
      <c r="H10" s="17" t="n">
        <v>1940</v>
      </c>
      <c r="I10" s="17" t="n">
        <v>1900</v>
      </c>
      <c r="J10" s="17" t="n">
        <v>2000</v>
      </c>
      <c r="K10" s="17" t="n">
        <v>2060</v>
      </c>
      <c r="L10" s="17" t="n">
        <v>1960</v>
      </c>
      <c r="M10" s="17" t="n">
        <v>2040</v>
      </c>
      <c r="N10" s="17" t="n">
        <v>2100</v>
      </c>
      <c r="O10" s="17" t="n">
        <v>2160</v>
      </c>
      <c r="P10" s="17" t="n">
        <v>2120</v>
      </c>
      <c r="Q10" s="17" t="n">
        <v>2360</v>
      </c>
      <c r="R10" s="18" t="n">
        <f aca="false">SUM(F10:Q10)</f>
        <v>24000</v>
      </c>
    </row>
    <row r="11" customFormat="false" ht="15" hidden="false" customHeight="false" outlineLevel="0" collapsed="false">
      <c r="A11" s="15" t="s">
        <v>24</v>
      </c>
      <c r="B11" s="16" t="s">
        <v>88</v>
      </c>
      <c r="C11" s="16" t="s">
        <v>89</v>
      </c>
      <c r="D11" s="16" t="s">
        <v>90</v>
      </c>
      <c r="E11" s="16" t="s">
        <v>92</v>
      </c>
      <c r="F11" s="17" t="n">
        <v>9890000</v>
      </c>
      <c r="G11" s="17" t="n">
        <v>9890000</v>
      </c>
      <c r="H11" s="17" t="n">
        <v>9890000</v>
      </c>
      <c r="I11" s="17" t="n">
        <v>9890000</v>
      </c>
      <c r="J11" s="17" t="n">
        <v>9890000</v>
      </c>
      <c r="K11" s="17" t="n">
        <v>9890000</v>
      </c>
      <c r="L11" s="17" t="n">
        <v>10286000</v>
      </c>
      <c r="M11" s="17" t="n">
        <v>10286000</v>
      </c>
      <c r="N11" s="17" t="n">
        <v>10286000</v>
      </c>
      <c r="O11" s="17" t="n">
        <v>10286000</v>
      </c>
      <c r="P11" s="17" t="n">
        <v>10286000</v>
      </c>
      <c r="Q11" s="17" t="n">
        <v>10286000</v>
      </c>
      <c r="R11" s="18" t="n">
        <f aca="false">IFERROR(SUMPRODUCT(F10:Q10,F11:Q11)/R10,0)</f>
        <v>10100210</v>
      </c>
    </row>
    <row r="12" customFormat="false" ht="15" hidden="false" customHeight="false" outlineLevel="0" collapsed="false">
      <c r="A12" s="15" t="s">
        <v>24</v>
      </c>
      <c r="B12" s="16" t="s">
        <v>88</v>
      </c>
      <c r="C12" s="16" t="s">
        <v>89</v>
      </c>
      <c r="D12" s="16" t="s">
        <v>90</v>
      </c>
      <c r="E12" s="16" t="s">
        <v>93</v>
      </c>
      <c r="F12" s="19" t="n">
        <f aca="false">F10*F11</f>
        <v>16219600000</v>
      </c>
      <c r="G12" s="19" t="n">
        <f aca="false">G10*G11</f>
        <v>17010800000</v>
      </c>
      <c r="H12" s="19" t="n">
        <f aca="false">H10*H11</f>
        <v>19186600000</v>
      </c>
      <c r="I12" s="19" t="n">
        <f aca="false">I10*I11</f>
        <v>18791000000</v>
      </c>
      <c r="J12" s="19" t="n">
        <f aca="false">J10*J11</f>
        <v>19780000000</v>
      </c>
      <c r="K12" s="19" t="n">
        <f aca="false">K10*K11</f>
        <v>20373400000</v>
      </c>
      <c r="L12" s="19" t="n">
        <f aca="false">L10*L11</f>
        <v>20160560000</v>
      </c>
      <c r="M12" s="19" t="n">
        <f aca="false">M10*M11</f>
        <v>20983440000</v>
      </c>
      <c r="N12" s="19" t="n">
        <f aca="false">N10*N11</f>
        <v>21600600000</v>
      </c>
      <c r="O12" s="19" t="n">
        <f aca="false">O10*O11</f>
        <v>22217760000</v>
      </c>
      <c r="P12" s="19" t="n">
        <f aca="false">P10*P11</f>
        <v>21806320000</v>
      </c>
      <c r="Q12" s="19" t="n">
        <f aca="false">Q10*Q11</f>
        <v>24274960000</v>
      </c>
      <c r="R12" s="18" t="n">
        <f aca="false">SUM(F12:Q12)</f>
        <v>242405040000</v>
      </c>
    </row>
    <row r="13" customFormat="false" ht="15" hidden="false" customHeight="false" outlineLevel="0" collapsed="false">
      <c r="A13" s="15" t="s">
        <v>24</v>
      </c>
      <c r="B13" s="16" t="s">
        <v>88</v>
      </c>
      <c r="C13" s="16" t="s">
        <v>94</v>
      </c>
      <c r="D13" s="16" t="s">
        <v>95</v>
      </c>
      <c r="E13" s="16" t="s">
        <v>91</v>
      </c>
      <c r="F13" s="17" t="n">
        <v>738</v>
      </c>
      <c r="G13" s="17" t="n">
        <v>774</v>
      </c>
      <c r="H13" s="17" t="n">
        <v>873</v>
      </c>
      <c r="I13" s="17" t="n">
        <v>855</v>
      </c>
      <c r="J13" s="17" t="n">
        <v>900</v>
      </c>
      <c r="K13" s="17" t="n">
        <v>927</v>
      </c>
      <c r="L13" s="17" t="n">
        <v>882</v>
      </c>
      <c r="M13" s="17" t="n">
        <v>918</v>
      </c>
      <c r="N13" s="17" t="n">
        <v>945</v>
      </c>
      <c r="O13" s="17" t="n">
        <v>972</v>
      </c>
      <c r="P13" s="17" t="n">
        <v>954</v>
      </c>
      <c r="Q13" s="17" t="n">
        <v>1062</v>
      </c>
      <c r="R13" s="18" t="n">
        <f aca="false">SUM(F13:Q13)</f>
        <v>10800</v>
      </c>
    </row>
    <row r="14" customFormat="false" ht="15" hidden="false" customHeight="false" outlineLevel="0" collapsed="false">
      <c r="A14" s="15" t="s">
        <v>24</v>
      </c>
      <c r="B14" s="16" t="s">
        <v>88</v>
      </c>
      <c r="C14" s="16" t="s">
        <v>94</v>
      </c>
      <c r="D14" s="16" t="s">
        <v>95</v>
      </c>
      <c r="E14" s="16" t="s">
        <v>92</v>
      </c>
      <c r="F14" s="17" t="n">
        <v>14500000</v>
      </c>
      <c r="G14" s="17" t="n">
        <v>14500000</v>
      </c>
      <c r="H14" s="17" t="n">
        <v>14500000</v>
      </c>
      <c r="I14" s="17" t="n">
        <v>14500000</v>
      </c>
      <c r="J14" s="17" t="n">
        <v>14500000</v>
      </c>
      <c r="K14" s="17" t="n">
        <v>14500000</v>
      </c>
      <c r="L14" s="17" t="n">
        <v>15080000</v>
      </c>
      <c r="M14" s="17" t="n">
        <v>15080000</v>
      </c>
      <c r="N14" s="17" t="n">
        <v>15080000</v>
      </c>
      <c r="O14" s="17" t="n">
        <v>15080000</v>
      </c>
      <c r="P14" s="17" t="n">
        <v>15080000</v>
      </c>
      <c r="Q14" s="17" t="n">
        <v>15080000</v>
      </c>
      <c r="R14" s="18" t="n">
        <f aca="false">IFERROR(SUMPRODUCT(F13:Q13,F14:Q14)/R13,0)</f>
        <v>14807883.3333333</v>
      </c>
    </row>
    <row r="15" customFormat="false" ht="15" hidden="false" customHeight="false" outlineLevel="0" collapsed="false">
      <c r="A15" s="15" t="s">
        <v>24</v>
      </c>
      <c r="B15" s="16" t="s">
        <v>88</v>
      </c>
      <c r="C15" s="16" t="s">
        <v>94</v>
      </c>
      <c r="D15" s="16" t="s">
        <v>95</v>
      </c>
      <c r="E15" s="16" t="s">
        <v>93</v>
      </c>
      <c r="F15" s="19" t="n">
        <f aca="false">F13*F14</f>
        <v>10701000000</v>
      </c>
      <c r="G15" s="19" t="n">
        <f aca="false">G13*G14</f>
        <v>11223000000</v>
      </c>
      <c r="H15" s="19" t="n">
        <f aca="false">H13*H14</f>
        <v>12658500000</v>
      </c>
      <c r="I15" s="19" t="n">
        <f aca="false">I13*I14</f>
        <v>12397500000</v>
      </c>
      <c r="J15" s="19" t="n">
        <f aca="false">J13*J14</f>
        <v>13050000000</v>
      </c>
      <c r="K15" s="19" t="n">
        <f aca="false">K13*K14</f>
        <v>13441500000</v>
      </c>
      <c r="L15" s="19" t="n">
        <f aca="false">L13*L14</f>
        <v>13300560000</v>
      </c>
      <c r="M15" s="19" t="n">
        <f aca="false">M13*M14</f>
        <v>13843440000</v>
      </c>
      <c r="N15" s="19" t="n">
        <f aca="false">N13*N14</f>
        <v>14250600000</v>
      </c>
      <c r="O15" s="19" t="n">
        <f aca="false">O13*O14</f>
        <v>14657760000</v>
      </c>
      <c r="P15" s="19" t="n">
        <f aca="false">P13*P14</f>
        <v>14386320000</v>
      </c>
      <c r="Q15" s="19" t="n">
        <f aca="false">Q13*Q14</f>
        <v>16014960000</v>
      </c>
      <c r="R15" s="18" t="n">
        <f aca="false">SUM(F15:Q15)</f>
        <v>159925140000</v>
      </c>
    </row>
    <row r="16" customFormat="false" ht="15" hidden="false" customHeight="false" outlineLevel="0" collapsed="false">
      <c r="A16" s="15" t="s">
        <v>96</v>
      </c>
      <c r="B16" s="16" t="s">
        <v>97</v>
      </c>
      <c r="C16" s="16" t="s">
        <v>98</v>
      </c>
      <c r="D16" s="16" t="s">
        <v>99</v>
      </c>
      <c r="E16" s="16" t="s">
        <v>91</v>
      </c>
      <c r="F16" s="17" t="n">
        <v>49</v>
      </c>
      <c r="G16" s="17" t="n">
        <v>52</v>
      </c>
      <c r="H16" s="17" t="n">
        <v>58</v>
      </c>
      <c r="I16" s="17" t="n">
        <v>57</v>
      </c>
      <c r="J16" s="17" t="n">
        <v>60</v>
      </c>
      <c r="K16" s="17" t="n">
        <v>62</v>
      </c>
      <c r="L16" s="17" t="n">
        <v>59</v>
      </c>
      <c r="M16" s="17" t="n">
        <v>61</v>
      </c>
      <c r="N16" s="17" t="n">
        <v>63</v>
      </c>
      <c r="O16" s="17" t="n">
        <v>65</v>
      </c>
      <c r="P16" s="17" t="n">
        <v>64</v>
      </c>
      <c r="Q16" s="17" t="n">
        <v>71</v>
      </c>
      <c r="R16" s="18" t="n">
        <f aca="false">SUM(F16:Q16)</f>
        <v>721</v>
      </c>
    </row>
    <row r="17" customFormat="false" ht="15" hidden="false" customHeight="false" outlineLevel="0" collapsed="false">
      <c r="A17" s="15" t="s">
        <v>96</v>
      </c>
      <c r="B17" s="16" t="s">
        <v>97</v>
      </c>
      <c r="C17" s="16" t="s">
        <v>98</v>
      </c>
      <c r="D17" s="16" t="s">
        <v>99</v>
      </c>
      <c r="E17" s="16" t="s">
        <v>92</v>
      </c>
      <c r="F17" s="17" t="n">
        <v>145000000</v>
      </c>
      <c r="G17" s="17" t="n">
        <v>145000000</v>
      </c>
      <c r="H17" s="17" t="n">
        <v>145000000</v>
      </c>
      <c r="I17" s="17" t="n">
        <v>145000000</v>
      </c>
      <c r="J17" s="17" t="n">
        <v>145000000</v>
      </c>
      <c r="K17" s="17" t="n">
        <v>145000000</v>
      </c>
      <c r="L17" s="17" t="n">
        <v>150800000</v>
      </c>
      <c r="M17" s="17" t="n">
        <v>150800000</v>
      </c>
      <c r="N17" s="17" t="n">
        <v>150800000</v>
      </c>
      <c r="O17" s="17" t="n">
        <v>150800000</v>
      </c>
      <c r="P17" s="17" t="n">
        <v>150800000</v>
      </c>
      <c r="Q17" s="17" t="n">
        <v>150800000</v>
      </c>
      <c r="R17" s="18" t="n">
        <f aca="false">IFERROR(SUMPRODUCT(F16:Q16,F17:Q17)/R16,0)</f>
        <v>148080998.613037</v>
      </c>
    </row>
    <row r="18" customFormat="false" ht="15" hidden="false" customHeight="false" outlineLevel="0" collapsed="false">
      <c r="A18" s="15" t="s">
        <v>96</v>
      </c>
      <c r="B18" s="16" t="s">
        <v>97</v>
      </c>
      <c r="C18" s="16" t="s">
        <v>98</v>
      </c>
      <c r="D18" s="16" t="s">
        <v>99</v>
      </c>
      <c r="E18" s="16" t="s">
        <v>93</v>
      </c>
      <c r="F18" s="19" t="n">
        <f aca="false">F16*F17</f>
        <v>7105000000</v>
      </c>
      <c r="G18" s="19" t="n">
        <f aca="false">G16*G17</f>
        <v>7540000000</v>
      </c>
      <c r="H18" s="19" t="n">
        <f aca="false">H16*H17</f>
        <v>8410000000</v>
      </c>
      <c r="I18" s="19" t="n">
        <f aca="false">I16*I17</f>
        <v>8265000000</v>
      </c>
      <c r="J18" s="19" t="n">
        <f aca="false">J16*J17</f>
        <v>8700000000</v>
      </c>
      <c r="K18" s="19" t="n">
        <f aca="false">K16*K17</f>
        <v>8990000000</v>
      </c>
      <c r="L18" s="19" t="n">
        <f aca="false">L16*L17</f>
        <v>8897200000</v>
      </c>
      <c r="M18" s="19" t="n">
        <f aca="false">M16*M17</f>
        <v>9198800000</v>
      </c>
      <c r="N18" s="19" t="n">
        <f aca="false">N16*N17</f>
        <v>9500400000</v>
      </c>
      <c r="O18" s="19" t="n">
        <f aca="false">O16*O17</f>
        <v>9802000000</v>
      </c>
      <c r="P18" s="19" t="n">
        <f aca="false">P16*P17</f>
        <v>9651200000</v>
      </c>
      <c r="Q18" s="19" t="n">
        <f aca="false">Q16*Q17</f>
        <v>10706800000</v>
      </c>
      <c r="R18" s="18" t="n">
        <f aca="false">SUM(F18:Q18)</f>
        <v>106766400000</v>
      </c>
    </row>
    <row r="19" customFormat="false" ht="15" hidden="false" customHeight="false" outlineLevel="0" collapsed="false">
      <c r="A19" s="15" t="s">
        <v>96</v>
      </c>
      <c r="B19" s="16" t="s">
        <v>97</v>
      </c>
      <c r="C19" s="16" t="s">
        <v>100</v>
      </c>
      <c r="D19" s="16" t="s">
        <v>101</v>
      </c>
      <c r="E19" s="16" t="s">
        <v>91</v>
      </c>
      <c r="F19" s="17" t="n">
        <v>66</v>
      </c>
      <c r="G19" s="17" t="n">
        <v>69</v>
      </c>
      <c r="H19" s="17" t="n">
        <v>78</v>
      </c>
      <c r="I19" s="17" t="n">
        <v>76</v>
      </c>
      <c r="J19" s="17" t="n">
        <v>80</v>
      </c>
      <c r="K19" s="17" t="n">
        <v>82</v>
      </c>
      <c r="L19" s="17" t="n">
        <v>78</v>
      </c>
      <c r="M19" s="17" t="n">
        <v>82</v>
      </c>
      <c r="N19" s="17" t="n">
        <v>84</v>
      </c>
      <c r="O19" s="17" t="n">
        <v>86</v>
      </c>
      <c r="P19" s="17" t="n">
        <v>85</v>
      </c>
      <c r="Q19" s="17" t="n">
        <v>94</v>
      </c>
      <c r="R19" s="18" t="n">
        <f aca="false">SUM(F19:Q19)</f>
        <v>960</v>
      </c>
    </row>
    <row r="20" customFormat="false" ht="15" hidden="false" customHeight="false" outlineLevel="0" collapsed="false">
      <c r="A20" s="15" t="s">
        <v>96</v>
      </c>
      <c r="B20" s="16" t="s">
        <v>97</v>
      </c>
      <c r="C20" s="16" t="s">
        <v>100</v>
      </c>
      <c r="D20" s="16" t="s">
        <v>101</v>
      </c>
      <c r="E20" s="16" t="s">
        <v>92</v>
      </c>
      <c r="F20" s="17" t="n">
        <v>135000000</v>
      </c>
      <c r="G20" s="17" t="n">
        <v>135000000</v>
      </c>
      <c r="H20" s="17" t="n">
        <v>135000000</v>
      </c>
      <c r="I20" s="17" t="n">
        <v>135000000</v>
      </c>
      <c r="J20" s="17" t="n">
        <v>135000000</v>
      </c>
      <c r="K20" s="17" t="n">
        <v>135000000</v>
      </c>
      <c r="L20" s="17" t="n">
        <v>140400000</v>
      </c>
      <c r="M20" s="17" t="n">
        <v>140400000</v>
      </c>
      <c r="N20" s="17" t="n">
        <v>140400000</v>
      </c>
      <c r="O20" s="17" t="n">
        <v>140400000</v>
      </c>
      <c r="P20" s="17" t="n">
        <v>140400000</v>
      </c>
      <c r="Q20" s="17" t="n">
        <v>140400000</v>
      </c>
      <c r="R20" s="18" t="n">
        <f aca="false">IFERROR(SUMPRODUCT(F19:Q19,F20:Q20)/R19,0)</f>
        <v>137863125</v>
      </c>
    </row>
    <row r="21" customFormat="false" ht="15" hidden="false" customHeight="false" outlineLevel="0" collapsed="false">
      <c r="A21" s="15" t="s">
        <v>96</v>
      </c>
      <c r="B21" s="16" t="s">
        <v>97</v>
      </c>
      <c r="C21" s="16" t="s">
        <v>100</v>
      </c>
      <c r="D21" s="16" t="s">
        <v>101</v>
      </c>
      <c r="E21" s="16" t="s">
        <v>93</v>
      </c>
      <c r="F21" s="19" t="n">
        <f aca="false">F19*F20</f>
        <v>8910000000</v>
      </c>
      <c r="G21" s="19" t="n">
        <f aca="false">G19*G20</f>
        <v>9315000000</v>
      </c>
      <c r="H21" s="19" t="n">
        <f aca="false">H19*H20</f>
        <v>10530000000</v>
      </c>
      <c r="I21" s="19" t="n">
        <f aca="false">I19*I20</f>
        <v>10260000000</v>
      </c>
      <c r="J21" s="19" t="n">
        <f aca="false">J19*J20</f>
        <v>10800000000</v>
      </c>
      <c r="K21" s="19" t="n">
        <f aca="false">K19*K20</f>
        <v>11070000000</v>
      </c>
      <c r="L21" s="19" t="n">
        <f aca="false">L19*L20</f>
        <v>10951200000</v>
      </c>
      <c r="M21" s="19" t="n">
        <f aca="false">M19*M20</f>
        <v>11512800000</v>
      </c>
      <c r="N21" s="19" t="n">
        <f aca="false">N19*N20</f>
        <v>11793600000</v>
      </c>
      <c r="O21" s="19" t="n">
        <f aca="false">O19*O20</f>
        <v>12074400000</v>
      </c>
      <c r="P21" s="19" t="n">
        <f aca="false">P19*P20</f>
        <v>11934000000</v>
      </c>
      <c r="Q21" s="19" t="n">
        <f aca="false">Q19*Q20</f>
        <v>13197600000</v>
      </c>
      <c r="R21" s="18" t="n">
        <f aca="false">SUM(F21:Q21)</f>
        <v>132348600000</v>
      </c>
    </row>
    <row r="22" customFormat="false" ht="15" hidden="false" customHeight="false" outlineLevel="0" collapsed="false">
      <c r="A22" s="15" t="s">
        <v>102</v>
      </c>
      <c r="B22" s="16" t="s">
        <v>103</v>
      </c>
      <c r="C22" s="16" t="s">
        <v>104</v>
      </c>
      <c r="D22" s="16" t="s">
        <v>105</v>
      </c>
      <c r="E22" s="16" t="s">
        <v>91</v>
      </c>
      <c r="F22" s="17" t="n">
        <v>328000</v>
      </c>
      <c r="G22" s="17" t="n">
        <v>344000</v>
      </c>
      <c r="H22" s="17" t="n">
        <v>388000</v>
      </c>
      <c r="I22" s="17" t="n">
        <v>380000</v>
      </c>
      <c r="J22" s="17" t="n">
        <v>400000</v>
      </c>
      <c r="K22" s="17" t="n">
        <v>412000</v>
      </c>
      <c r="L22" s="17" t="n">
        <v>392000</v>
      </c>
      <c r="M22" s="17" t="n">
        <v>408000</v>
      </c>
      <c r="N22" s="17" t="n">
        <v>420000</v>
      </c>
      <c r="O22" s="17" t="n">
        <v>432000</v>
      </c>
      <c r="P22" s="17" t="n">
        <v>424000</v>
      </c>
      <c r="Q22" s="17" t="n">
        <v>472000</v>
      </c>
      <c r="R22" s="18" t="n">
        <f aca="false">SUM(F22:Q22)</f>
        <v>4800000</v>
      </c>
    </row>
    <row r="23" customFormat="false" ht="15" hidden="false" customHeight="false" outlineLevel="0" collapsed="false">
      <c r="A23" s="15" t="s">
        <v>102</v>
      </c>
      <c r="B23" s="16" t="s">
        <v>103</v>
      </c>
      <c r="C23" s="16" t="s">
        <v>104</v>
      </c>
      <c r="D23" s="16" t="s">
        <v>105</v>
      </c>
      <c r="E23" s="16" t="s">
        <v>92</v>
      </c>
      <c r="F23" s="17" t="n">
        <v>18000</v>
      </c>
      <c r="G23" s="17" t="n">
        <v>18000</v>
      </c>
      <c r="H23" s="17" t="n">
        <v>18000</v>
      </c>
      <c r="I23" s="17" t="n">
        <v>18000</v>
      </c>
      <c r="J23" s="17" t="n">
        <v>18000</v>
      </c>
      <c r="K23" s="17" t="n">
        <v>18000</v>
      </c>
      <c r="L23" s="17" t="n">
        <v>18720</v>
      </c>
      <c r="M23" s="17" t="n">
        <v>18720</v>
      </c>
      <c r="N23" s="17" t="n">
        <v>18720</v>
      </c>
      <c r="O23" s="17" t="n">
        <v>18720</v>
      </c>
      <c r="P23" s="17" t="n">
        <v>18720</v>
      </c>
      <c r="Q23" s="17" t="n">
        <v>18720</v>
      </c>
      <c r="R23" s="18" t="n">
        <f aca="false">IFERROR(SUMPRODUCT(F22:Q22,F23:Q23)/R22,0)</f>
        <v>18382.2</v>
      </c>
    </row>
    <row r="24" customFormat="false" ht="15" hidden="false" customHeight="false" outlineLevel="0" collapsed="false">
      <c r="A24" s="15" t="s">
        <v>102</v>
      </c>
      <c r="B24" s="16" t="s">
        <v>103</v>
      </c>
      <c r="C24" s="16" t="s">
        <v>104</v>
      </c>
      <c r="D24" s="16" t="s">
        <v>105</v>
      </c>
      <c r="E24" s="16" t="s">
        <v>93</v>
      </c>
      <c r="F24" s="19" t="n">
        <f aca="false">F22*F23</f>
        <v>5904000000</v>
      </c>
      <c r="G24" s="19" t="n">
        <f aca="false">G22*G23</f>
        <v>6192000000</v>
      </c>
      <c r="H24" s="19" t="n">
        <f aca="false">H22*H23</f>
        <v>6984000000</v>
      </c>
      <c r="I24" s="19" t="n">
        <f aca="false">I22*I23</f>
        <v>6840000000</v>
      </c>
      <c r="J24" s="19" t="n">
        <f aca="false">J22*J23</f>
        <v>7200000000</v>
      </c>
      <c r="K24" s="19" t="n">
        <f aca="false">K22*K23</f>
        <v>7416000000</v>
      </c>
      <c r="L24" s="19" t="n">
        <f aca="false">L22*L23</f>
        <v>7338240000</v>
      </c>
      <c r="M24" s="19" t="n">
        <f aca="false">M22*M23</f>
        <v>7637760000</v>
      </c>
      <c r="N24" s="19" t="n">
        <f aca="false">N22*N23</f>
        <v>7862400000</v>
      </c>
      <c r="O24" s="19" t="n">
        <f aca="false">O22*O23</f>
        <v>8087040000</v>
      </c>
      <c r="P24" s="19" t="n">
        <f aca="false">P22*P23</f>
        <v>7937280000</v>
      </c>
      <c r="Q24" s="19" t="n">
        <f aca="false">Q22*Q23</f>
        <v>8835840000</v>
      </c>
      <c r="R24" s="18" t="n">
        <f aca="false">SUM(F24:Q24)</f>
        <v>88234560000</v>
      </c>
    </row>
    <row r="25" customFormat="false" ht="15" hidden="false" customHeight="false" outlineLevel="0" collapsed="false">
      <c r="A25" s="15" t="s">
        <v>102</v>
      </c>
      <c r="B25" s="16" t="s">
        <v>103</v>
      </c>
      <c r="C25" s="16" t="s">
        <v>106</v>
      </c>
      <c r="D25" s="16" t="s">
        <v>107</v>
      </c>
      <c r="E25" s="16" t="s">
        <v>91</v>
      </c>
      <c r="F25" s="17" t="n">
        <v>123000</v>
      </c>
      <c r="G25" s="17" t="n">
        <v>129000</v>
      </c>
      <c r="H25" s="17" t="n">
        <v>145500</v>
      </c>
      <c r="I25" s="17" t="n">
        <v>142500</v>
      </c>
      <c r="J25" s="17" t="n">
        <v>150000</v>
      </c>
      <c r="K25" s="17" t="n">
        <v>154500</v>
      </c>
      <c r="L25" s="17" t="n">
        <v>147000</v>
      </c>
      <c r="M25" s="17" t="n">
        <v>153000</v>
      </c>
      <c r="N25" s="17" t="n">
        <v>157500</v>
      </c>
      <c r="O25" s="17" t="n">
        <v>162000</v>
      </c>
      <c r="P25" s="17" t="n">
        <v>159000</v>
      </c>
      <c r="Q25" s="17" t="n">
        <v>177000</v>
      </c>
      <c r="R25" s="18" t="n">
        <f aca="false">SUM(F25:Q25)</f>
        <v>1800000</v>
      </c>
    </row>
    <row r="26" customFormat="false" ht="15" hidden="false" customHeight="false" outlineLevel="0" collapsed="false">
      <c r="A26" s="15" t="s">
        <v>102</v>
      </c>
      <c r="B26" s="16" t="s">
        <v>103</v>
      </c>
      <c r="C26" s="16" t="s">
        <v>106</v>
      </c>
      <c r="D26" s="16" t="s">
        <v>107</v>
      </c>
      <c r="E26" s="16" t="s">
        <v>92</v>
      </c>
      <c r="F26" s="17" t="n">
        <v>42000</v>
      </c>
      <c r="G26" s="17" t="n">
        <v>42000</v>
      </c>
      <c r="H26" s="17" t="n">
        <v>42000</v>
      </c>
      <c r="I26" s="17" t="n">
        <v>42000</v>
      </c>
      <c r="J26" s="17" t="n">
        <v>42000</v>
      </c>
      <c r="K26" s="17" t="n">
        <v>42000</v>
      </c>
      <c r="L26" s="17" t="n">
        <v>43680</v>
      </c>
      <c r="M26" s="17" t="n">
        <v>43680</v>
      </c>
      <c r="N26" s="17" t="n">
        <v>43680</v>
      </c>
      <c r="O26" s="17" t="n">
        <v>43680</v>
      </c>
      <c r="P26" s="17" t="n">
        <v>43680</v>
      </c>
      <c r="Q26" s="17" t="n">
        <v>43680</v>
      </c>
      <c r="R26" s="18" t="n">
        <f aca="false">IFERROR(SUMPRODUCT(F25:Q25,F26:Q26)/R25,0)</f>
        <v>42891.8</v>
      </c>
    </row>
    <row r="27" customFormat="false" ht="15" hidden="false" customHeight="false" outlineLevel="0" collapsed="false">
      <c r="A27" s="15" t="s">
        <v>102</v>
      </c>
      <c r="B27" s="16" t="s">
        <v>103</v>
      </c>
      <c r="C27" s="16" t="s">
        <v>106</v>
      </c>
      <c r="D27" s="16" t="s">
        <v>107</v>
      </c>
      <c r="E27" s="16" t="s">
        <v>93</v>
      </c>
      <c r="F27" s="19" t="n">
        <f aca="false">F25*F26</f>
        <v>5166000000</v>
      </c>
      <c r="G27" s="19" t="n">
        <f aca="false">G25*G26</f>
        <v>5418000000</v>
      </c>
      <c r="H27" s="19" t="n">
        <f aca="false">H25*H26</f>
        <v>6111000000</v>
      </c>
      <c r="I27" s="19" t="n">
        <f aca="false">I25*I26</f>
        <v>5985000000</v>
      </c>
      <c r="J27" s="19" t="n">
        <f aca="false">J25*J26</f>
        <v>6300000000</v>
      </c>
      <c r="K27" s="19" t="n">
        <f aca="false">K25*K26</f>
        <v>6489000000</v>
      </c>
      <c r="L27" s="19" t="n">
        <f aca="false">L25*L26</f>
        <v>6420960000</v>
      </c>
      <c r="M27" s="19" t="n">
        <f aca="false">M25*M26</f>
        <v>6683040000</v>
      </c>
      <c r="N27" s="19" t="n">
        <f aca="false">N25*N26</f>
        <v>6879600000</v>
      </c>
      <c r="O27" s="19" t="n">
        <f aca="false">O25*O26</f>
        <v>7076160000</v>
      </c>
      <c r="P27" s="19" t="n">
        <f aca="false">P25*P26</f>
        <v>6945120000</v>
      </c>
      <c r="Q27" s="19" t="n">
        <f aca="false">Q25*Q26</f>
        <v>7731360000</v>
      </c>
      <c r="R27" s="18" t="n">
        <f aca="false">SUM(F27:Q27)</f>
        <v>77205240000</v>
      </c>
    </row>
    <row r="29" customFormat="false" ht="15" hidden="false" customHeight="false" outlineLevel="0" collapsed="false">
      <c r="A29" s="11" t="s">
        <v>108</v>
      </c>
    </row>
    <row r="30" customFormat="false" ht="15" hidden="false" customHeight="false" outlineLevel="0" collapsed="false">
      <c r="A30" s="20" t="s">
        <v>109</v>
      </c>
    </row>
    <row r="31" customFormat="false" ht="15" hidden="false" customHeight="false" outlineLevel="0" collapsed="false">
      <c r="A31" s="20" t="s">
        <v>110</v>
      </c>
    </row>
    <row r="32" customFormat="false" ht="15" hidden="false" customHeight="false" outlineLevel="0" collapsed="false">
      <c r="A32" s="20" t="s">
        <v>111</v>
      </c>
    </row>
    <row r="33" customFormat="false" ht="15" hidden="false" customHeight="false" outlineLevel="0" collapsed="false">
      <c r="A33" s="20" t="s">
        <v>112</v>
      </c>
    </row>
  </sheetData>
  <dataValidations count="5">
    <dataValidation allowBlank="true" error="Elija un miembro de la lista Sociedades (hoja Listas)." errorStyle="stop" errorTitle="Miembro no válido" operator="between" showDropDown="false" showErrorMessage="true" showInputMessage="false" sqref="A10:A27" type="list">
      <formula1>Listas!$A$5:$A$7</formula1>
      <formula2>0</formula2>
    </dataValidation>
    <dataValidation allowBlank="true" error="Elija un miembro de la lista Cebes (hoja Listas)." errorStyle="stop" errorTitle="Miembro no válido" operator="between" showDropDown="false" showErrorMessage="true" showInputMessage="false" sqref="B10:B27" type="list">
      <formula1>Listas!$B$5:$B$8</formula1>
      <formula2>0</formula2>
    </dataValidation>
    <dataValidation allowBlank="true" error="Elija un miembro de la lista Ratio (hoja Listas)." errorStyle="stop" errorTitle="Miembro no válido" operator="between" showDropDown="false" showErrorMessage="true" showInputMessage="false" sqref="E10:E27" type="list">
      <formula1>Listas!$D$5:$D$7</formula1>
      <formula2>0</formula2>
    </dataValidation>
    <dataValidation allowBlank="true" error="Elija un miembro de la lista Versión (hoja Listas)." errorStyle="stop" errorTitle="Miembro no válido" operator="between" showDropDown="false" showErrorMessage="true" showInputMessage="false" sqref="B5" type="list">
      <formula1>Listas!$F$5:$F$7</formula1>
      <formula2>0</formula2>
    </dataValidation>
    <dataValidation allowBlank="true" error="Elija un miembro de la lista Auditoria (hoja Listas)." errorStyle="stop" errorTitle="Miembro no válido" operator="between" showDropDown="false" showErrorMessage="true" showInputMessage="false" sqref="B6" type="list">
      <formula1>Listas!$E$5:$E$7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FE7"/>
    <pageSetUpPr fitToPage="true"/>
  </sheetPr>
  <dimension ref="A1:T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16" min="5" style="0" width="15"/>
    <col collapsed="false" customWidth="true" hidden="false" outlineLevel="0" max="17" min="17" style="0" width="18"/>
    <col collapsed="false" customWidth="true" hidden="false" outlineLevel="0" max="18" min="18" style="0" width="26"/>
  </cols>
  <sheetData>
    <row r="1" customFormat="false" ht="25.5" hidden="false" customHeight="true" outlineLevel="0" collapsed="false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114</v>
      </c>
    </row>
    <row r="3" customFormat="false" ht="15" hidden="false" customHeight="false" outlineLevel="0" collapsed="false">
      <c r="A3" s="11" t="s">
        <v>62</v>
      </c>
    </row>
    <row r="4" customFormat="false" ht="15" hidden="false" customHeight="false" outlineLevel="0" collapsed="false">
      <c r="A4" s="12" t="s">
        <v>50</v>
      </c>
      <c r="B4" s="13" t="s">
        <v>115</v>
      </c>
    </row>
    <row r="5" customFormat="false" ht="15" hidden="false" customHeight="false" outlineLevel="0" collapsed="false">
      <c r="A5" s="12" t="s">
        <v>64</v>
      </c>
      <c r="B5" s="7" t="s">
        <v>65</v>
      </c>
    </row>
    <row r="6" customFormat="false" ht="15" hidden="false" customHeight="false" outlineLevel="0" collapsed="false">
      <c r="A6" s="12" t="s">
        <v>66</v>
      </c>
      <c r="B6" s="7" t="s">
        <v>67</v>
      </c>
    </row>
    <row r="7" customFormat="false" ht="15" hidden="false" customHeight="false" outlineLevel="0" collapsed="false">
      <c r="A7" s="12" t="s">
        <v>68</v>
      </c>
      <c r="B7" s="7" t="s">
        <v>69</v>
      </c>
    </row>
    <row r="9" customFormat="false" ht="30" hidden="false" customHeight="true" outlineLevel="0" collapsed="false">
      <c r="A9" s="14" t="s">
        <v>70</v>
      </c>
      <c r="B9" s="14" t="s">
        <v>116</v>
      </c>
      <c r="C9" s="14" t="s">
        <v>71</v>
      </c>
      <c r="D9" s="14" t="s">
        <v>117</v>
      </c>
      <c r="E9" s="14" t="s">
        <v>75</v>
      </c>
      <c r="F9" s="14" t="s">
        <v>76</v>
      </c>
      <c r="G9" s="14" t="s">
        <v>77</v>
      </c>
      <c r="H9" s="14" t="s">
        <v>78</v>
      </c>
      <c r="I9" s="14" t="s">
        <v>79</v>
      </c>
      <c r="J9" s="14" t="s">
        <v>80</v>
      </c>
      <c r="K9" s="14" t="s">
        <v>81</v>
      </c>
      <c r="L9" s="14" t="s">
        <v>82</v>
      </c>
      <c r="M9" s="14" t="s">
        <v>83</v>
      </c>
      <c r="N9" s="14" t="s">
        <v>84</v>
      </c>
      <c r="O9" s="14" t="s">
        <v>85</v>
      </c>
      <c r="P9" s="14" t="s">
        <v>86</v>
      </c>
      <c r="Q9" s="14" t="s">
        <v>87</v>
      </c>
      <c r="R9" s="14" t="s">
        <v>118</v>
      </c>
    </row>
    <row r="10" customFormat="false" ht="15" hidden="false" customHeight="false" outlineLevel="0" collapsed="false">
      <c r="A10" s="15" t="s">
        <v>24</v>
      </c>
      <c r="B10" s="16" t="s">
        <v>119</v>
      </c>
      <c r="C10" s="16" t="s">
        <v>88</v>
      </c>
      <c r="D10" s="16" t="s">
        <v>120</v>
      </c>
      <c r="E10" s="17" t="n">
        <v>2400000000</v>
      </c>
      <c r="F10" s="17" t="n">
        <v>2400000000</v>
      </c>
      <c r="G10" s="17" t="n">
        <v>2400000000</v>
      </c>
      <c r="H10" s="17" t="n">
        <v>2400000000</v>
      </c>
      <c r="I10" s="17" t="n">
        <v>2400000000</v>
      </c>
      <c r="J10" s="17" t="n">
        <v>2400000000</v>
      </c>
      <c r="K10" s="17" t="n">
        <v>2520000000</v>
      </c>
      <c r="L10" s="17" t="n">
        <v>2520000000</v>
      </c>
      <c r="M10" s="17" t="n">
        <v>2520000000</v>
      </c>
      <c r="N10" s="17" t="n">
        <v>2520000000</v>
      </c>
      <c r="O10" s="17" t="n">
        <v>2520000000</v>
      </c>
      <c r="P10" s="17" t="n">
        <v>3720000000</v>
      </c>
      <c r="Q10" s="18" t="n">
        <f aca="false">SUM(E10:P10)</f>
        <v>30720000000</v>
      </c>
      <c r="R10" s="21" t="str">
        <f aca="false">IFERROR(INDEX(Listas!$J$5:$J$11,MATCH(D10,Listas!$H$5:$H$11,0)),"Cuenta no encontrada")</f>
        <v>Gastos de administración</v>
      </c>
    </row>
    <row r="11" customFormat="false" ht="15" hidden="false" customHeight="false" outlineLevel="0" collapsed="false">
      <c r="A11" s="15" t="s">
        <v>24</v>
      </c>
      <c r="B11" s="16" t="s">
        <v>119</v>
      </c>
      <c r="C11" s="16" t="s">
        <v>88</v>
      </c>
      <c r="D11" s="16" t="s">
        <v>121</v>
      </c>
      <c r="E11" s="17" t="n">
        <v>372400000</v>
      </c>
      <c r="F11" s="17" t="n">
        <v>380000000</v>
      </c>
      <c r="G11" s="17" t="n">
        <v>387600000</v>
      </c>
      <c r="H11" s="17" t="n">
        <v>372400000</v>
      </c>
      <c r="I11" s="17" t="n">
        <v>380000000</v>
      </c>
      <c r="J11" s="17" t="n">
        <v>387600000</v>
      </c>
      <c r="K11" s="17" t="n">
        <v>372400000</v>
      </c>
      <c r="L11" s="17" t="n">
        <v>380000000</v>
      </c>
      <c r="M11" s="17" t="n">
        <v>387600000</v>
      </c>
      <c r="N11" s="17" t="n">
        <v>372400000</v>
      </c>
      <c r="O11" s="17" t="n">
        <v>380000000</v>
      </c>
      <c r="P11" s="17" t="n">
        <v>387600000</v>
      </c>
      <c r="Q11" s="18" t="n">
        <f aca="false">SUM(E11:P11)</f>
        <v>4560000000</v>
      </c>
      <c r="R11" s="21" t="str">
        <f aca="false">IFERROR(INDEX(Listas!$J$5:$J$11,MATCH(D11,Listas!$H$5:$H$11,0)),"Cuenta no encontrada")</f>
        <v>Gastos de administración</v>
      </c>
    </row>
    <row r="12" customFormat="false" ht="15" hidden="false" customHeight="false" outlineLevel="0" collapsed="false">
      <c r="A12" s="15" t="s">
        <v>24</v>
      </c>
      <c r="B12" s="16" t="s">
        <v>122</v>
      </c>
      <c r="C12" s="16" t="s">
        <v>88</v>
      </c>
      <c r="D12" s="16" t="s">
        <v>123</v>
      </c>
      <c r="E12" s="17" t="n">
        <v>950000000</v>
      </c>
      <c r="F12" s="17" t="n">
        <v>950000000</v>
      </c>
      <c r="G12" s="17" t="n">
        <v>950000000</v>
      </c>
      <c r="H12" s="17" t="n">
        <v>950000000</v>
      </c>
      <c r="I12" s="17" t="n">
        <v>950000000</v>
      </c>
      <c r="J12" s="17" t="n">
        <v>950000000</v>
      </c>
      <c r="K12" s="17" t="n">
        <v>997500000</v>
      </c>
      <c r="L12" s="17" t="n">
        <v>997500000</v>
      </c>
      <c r="M12" s="17" t="n">
        <v>997500000</v>
      </c>
      <c r="N12" s="17" t="n">
        <v>997500000</v>
      </c>
      <c r="O12" s="17" t="n">
        <v>997500000</v>
      </c>
      <c r="P12" s="17" t="n">
        <v>997500000</v>
      </c>
      <c r="Q12" s="18" t="n">
        <f aca="false">SUM(E12:P12)</f>
        <v>11685000000</v>
      </c>
      <c r="R12" s="21" t="str">
        <f aca="false">IFERROR(INDEX(Listas!$J$5:$J$11,MATCH(D12,Listas!$H$5:$H$11,0)),"Cuenta no encontrada")</f>
        <v>Gastos de ventas</v>
      </c>
    </row>
    <row r="13" customFormat="false" ht="15" hidden="false" customHeight="false" outlineLevel="0" collapsed="false">
      <c r="A13" s="15" t="s">
        <v>24</v>
      </c>
      <c r="B13" s="16" t="s">
        <v>122</v>
      </c>
      <c r="C13" s="16" t="s">
        <v>88</v>
      </c>
      <c r="D13" s="16" t="s">
        <v>124</v>
      </c>
      <c r="E13" s="17" t="n">
        <v>570400000</v>
      </c>
      <c r="F13" s="17" t="n">
        <v>620000000</v>
      </c>
      <c r="G13" s="17" t="n">
        <v>669600000</v>
      </c>
      <c r="H13" s="17" t="n">
        <v>570400000</v>
      </c>
      <c r="I13" s="17" t="n">
        <v>620000000</v>
      </c>
      <c r="J13" s="17" t="n">
        <v>669600000</v>
      </c>
      <c r="K13" s="17" t="n">
        <v>570400000</v>
      </c>
      <c r="L13" s="17" t="n">
        <v>620000000</v>
      </c>
      <c r="M13" s="17" t="n">
        <v>669600000</v>
      </c>
      <c r="N13" s="17" t="n">
        <v>570400000</v>
      </c>
      <c r="O13" s="17" t="n">
        <v>620000000</v>
      </c>
      <c r="P13" s="17" t="n">
        <v>669600000</v>
      </c>
      <c r="Q13" s="18" t="n">
        <f aca="false">SUM(E13:P13)</f>
        <v>7440000000</v>
      </c>
      <c r="R13" s="21" t="str">
        <f aca="false">IFERROR(INDEX(Listas!$J$5:$J$11,MATCH(D13,Listas!$H$5:$H$11,0)),"Cuenta no encontrada")</f>
        <v>Gastos de ventas</v>
      </c>
    </row>
    <row r="14" customFormat="false" ht="15" hidden="false" customHeight="false" outlineLevel="0" collapsed="false">
      <c r="A14" s="15" t="s">
        <v>24</v>
      </c>
      <c r="B14" s="16" t="s">
        <v>125</v>
      </c>
      <c r="C14" s="16" t="s">
        <v>88</v>
      </c>
      <c r="D14" s="16" t="s">
        <v>126</v>
      </c>
      <c r="E14" s="17" t="n">
        <v>523800000</v>
      </c>
      <c r="F14" s="17" t="n">
        <v>540000000</v>
      </c>
      <c r="G14" s="17" t="n">
        <v>556200000</v>
      </c>
      <c r="H14" s="17" t="n">
        <v>523800000</v>
      </c>
      <c r="I14" s="17" t="n">
        <v>540000000</v>
      </c>
      <c r="J14" s="17" t="n">
        <v>556200000</v>
      </c>
      <c r="K14" s="17" t="n">
        <v>523800000</v>
      </c>
      <c r="L14" s="17" t="n">
        <v>540000000</v>
      </c>
      <c r="M14" s="17" t="n">
        <v>556200000</v>
      </c>
      <c r="N14" s="17" t="n">
        <v>523800000</v>
      </c>
      <c r="O14" s="17" t="n">
        <v>540000000</v>
      </c>
      <c r="P14" s="17" t="n">
        <v>556200000</v>
      </c>
      <c r="Q14" s="18" t="n">
        <f aca="false">SUM(E14:P14)</f>
        <v>6480000000</v>
      </c>
      <c r="R14" s="21" t="str">
        <f aca="false">IFERROR(INDEX(Listas!$J$5:$J$11,MATCH(D14,Listas!$H$5:$H$11,0)),"Cuenta no encontrada")</f>
        <v>Gastos de ventas</v>
      </c>
    </row>
    <row r="15" customFormat="false" ht="15" hidden="false" customHeight="false" outlineLevel="0" collapsed="false">
      <c r="A15" s="15" t="s">
        <v>96</v>
      </c>
      <c r="B15" s="16" t="s">
        <v>127</v>
      </c>
      <c r="C15" s="16" t="s">
        <v>97</v>
      </c>
      <c r="D15" s="16" t="s">
        <v>120</v>
      </c>
      <c r="E15" s="17" t="n">
        <v>1150000000</v>
      </c>
      <c r="F15" s="17" t="n">
        <v>1150000000</v>
      </c>
      <c r="G15" s="17" t="n">
        <v>1150000000</v>
      </c>
      <c r="H15" s="17" t="n">
        <v>1150000000</v>
      </c>
      <c r="I15" s="17" t="n">
        <v>1150000000</v>
      </c>
      <c r="J15" s="17" t="n">
        <v>1150000000</v>
      </c>
      <c r="K15" s="17" t="n">
        <v>1207500000</v>
      </c>
      <c r="L15" s="17" t="n">
        <v>1207500000</v>
      </c>
      <c r="M15" s="17" t="n">
        <v>1207500000</v>
      </c>
      <c r="N15" s="17" t="n">
        <v>1207500000</v>
      </c>
      <c r="O15" s="17" t="n">
        <v>1207500000</v>
      </c>
      <c r="P15" s="17" t="n">
        <v>1782500000</v>
      </c>
      <c r="Q15" s="18" t="n">
        <f aca="false">SUM(E15:P15)</f>
        <v>14720000000</v>
      </c>
      <c r="R15" s="21" t="str">
        <f aca="false">IFERROR(INDEX(Listas!$J$5:$J$11,MATCH(D15,Listas!$H$5:$H$11,0)),"Cuenta no encontrada")</f>
        <v>Gastos de administración</v>
      </c>
    </row>
    <row r="16" customFormat="false" ht="15" hidden="false" customHeight="false" outlineLevel="0" collapsed="false">
      <c r="A16" s="15" t="s">
        <v>96</v>
      </c>
      <c r="B16" s="16" t="s">
        <v>127</v>
      </c>
      <c r="C16" s="16" t="s">
        <v>97</v>
      </c>
      <c r="D16" s="16" t="s">
        <v>128</v>
      </c>
      <c r="E16" s="17" t="n">
        <v>210000000</v>
      </c>
      <c r="F16" s="17" t="n">
        <v>210000000</v>
      </c>
      <c r="G16" s="17" t="n">
        <v>210000000</v>
      </c>
      <c r="H16" s="17" t="n">
        <v>210000000</v>
      </c>
      <c r="I16" s="17" t="n">
        <v>210000000</v>
      </c>
      <c r="J16" s="17" t="n">
        <v>210000000</v>
      </c>
      <c r="K16" s="17" t="n">
        <v>210000000</v>
      </c>
      <c r="L16" s="17" t="n">
        <v>210000000</v>
      </c>
      <c r="M16" s="17" t="n">
        <v>210000000</v>
      </c>
      <c r="N16" s="17" t="n">
        <v>210000000</v>
      </c>
      <c r="O16" s="17" t="n">
        <v>210000000</v>
      </c>
      <c r="P16" s="17" t="n">
        <v>210000000</v>
      </c>
      <c r="Q16" s="18" t="n">
        <f aca="false">SUM(E16:P16)</f>
        <v>2520000000</v>
      </c>
      <c r="R16" s="21" t="str">
        <f aca="false">IFERROR(INDEX(Listas!$J$5:$J$11,MATCH(D16,Listas!$H$5:$H$11,0)),"Cuenta no encontrada")</f>
        <v>Gastos de administración</v>
      </c>
    </row>
    <row r="17" customFormat="false" ht="15" hidden="false" customHeight="false" outlineLevel="0" collapsed="false">
      <c r="A17" s="15" t="s">
        <v>96</v>
      </c>
      <c r="B17" s="16" t="s">
        <v>122</v>
      </c>
      <c r="C17" s="16" t="s">
        <v>97</v>
      </c>
      <c r="D17" s="16" t="s">
        <v>123</v>
      </c>
      <c r="E17" s="17" t="n">
        <v>620000000</v>
      </c>
      <c r="F17" s="17" t="n">
        <v>620000000</v>
      </c>
      <c r="G17" s="17" t="n">
        <v>620000000</v>
      </c>
      <c r="H17" s="17" t="n">
        <v>620000000</v>
      </c>
      <c r="I17" s="17" t="n">
        <v>620000000</v>
      </c>
      <c r="J17" s="17" t="n">
        <v>620000000</v>
      </c>
      <c r="K17" s="17" t="n">
        <v>651000000</v>
      </c>
      <c r="L17" s="17" t="n">
        <v>651000000</v>
      </c>
      <c r="M17" s="17" t="n">
        <v>651000000</v>
      </c>
      <c r="N17" s="17" t="n">
        <v>651000000</v>
      </c>
      <c r="O17" s="17" t="n">
        <v>651000000</v>
      </c>
      <c r="P17" s="17" t="n">
        <v>651000000</v>
      </c>
      <c r="Q17" s="18" t="n">
        <f aca="false">SUM(E17:P17)</f>
        <v>7626000000</v>
      </c>
      <c r="R17" s="21" t="str">
        <f aca="false">IFERROR(INDEX(Listas!$J$5:$J$11,MATCH(D17,Listas!$H$5:$H$11,0)),"Cuenta no encontrada")</f>
        <v>Gastos de ventas</v>
      </c>
    </row>
    <row r="18" customFormat="false" ht="15" hidden="false" customHeight="false" outlineLevel="0" collapsed="false">
      <c r="A18" s="15" t="s">
        <v>96</v>
      </c>
      <c r="B18" s="16" t="s">
        <v>122</v>
      </c>
      <c r="C18" s="16" t="s">
        <v>97</v>
      </c>
      <c r="D18" s="16" t="s">
        <v>124</v>
      </c>
      <c r="E18" s="17" t="n">
        <v>432000000</v>
      </c>
      <c r="F18" s="17" t="n">
        <v>480000000</v>
      </c>
      <c r="G18" s="17" t="n">
        <v>528000000</v>
      </c>
      <c r="H18" s="17" t="n">
        <v>432000000</v>
      </c>
      <c r="I18" s="17" t="n">
        <v>480000000</v>
      </c>
      <c r="J18" s="17" t="n">
        <v>528000000</v>
      </c>
      <c r="K18" s="17" t="n">
        <v>432000000</v>
      </c>
      <c r="L18" s="17" t="n">
        <v>480000000</v>
      </c>
      <c r="M18" s="17" t="n">
        <v>528000000</v>
      </c>
      <c r="N18" s="17" t="n">
        <v>432000000</v>
      </c>
      <c r="O18" s="17" t="n">
        <v>480000000</v>
      </c>
      <c r="P18" s="17" t="n">
        <v>528000000</v>
      </c>
      <c r="Q18" s="18" t="n">
        <f aca="false">SUM(E18:P18)</f>
        <v>5760000000</v>
      </c>
      <c r="R18" s="21" t="str">
        <f aca="false">IFERROR(INDEX(Listas!$J$5:$J$11,MATCH(D18,Listas!$H$5:$H$11,0)),"Cuenta no encontrada")</f>
        <v>Gastos de ventas</v>
      </c>
    </row>
    <row r="19" customFormat="false" ht="15" hidden="false" customHeight="false" outlineLevel="0" collapsed="false">
      <c r="A19" s="15" t="s">
        <v>102</v>
      </c>
      <c r="B19" s="16" t="s">
        <v>119</v>
      </c>
      <c r="C19" s="16" t="s">
        <v>103</v>
      </c>
      <c r="D19" s="16" t="s">
        <v>120</v>
      </c>
      <c r="E19" s="17" t="n">
        <v>1300000000</v>
      </c>
      <c r="F19" s="17" t="n">
        <v>1300000000</v>
      </c>
      <c r="G19" s="17" t="n">
        <v>1300000000</v>
      </c>
      <c r="H19" s="17" t="n">
        <v>1300000000</v>
      </c>
      <c r="I19" s="17" t="n">
        <v>1300000000</v>
      </c>
      <c r="J19" s="17" t="n">
        <v>1300000000</v>
      </c>
      <c r="K19" s="17" t="n">
        <v>1365000000</v>
      </c>
      <c r="L19" s="17" t="n">
        <v>1365000000</v>
      </c>
      <c r="M19" s="17" t="n">
        <v>1365000000</v>
      </c>
      <c r="N19" s="17" t="n">
        <v>1365000000</v>
      </c>
      <c r="O19" s="17" t="n">
        <v>1365000000</v>
      </c>
      <c r="P19" s="17" t="n">
        <v>2015000000</v>
      </c>
      <c r="Q19" s="18" t="n">
        <f aca="false">SUM(E19:P19)</f>
        <v>16640000000</v>
      </c>
      <c r="R19" s="21" t="str">
        <f aca="false">IFERROR(INDEX(Listas!$J$5:$J$11,MATCH(D19,Listas!$H$5:$H$11,0)),"Cuenta no encontrada")</f>
        <v>Gastos de administración</v>
      </c>
    </row>
    <row r="20" customFormat="false" ht="15" hidden="false" customHeight="false" outlineLevel="0" collapsed="false">
      <c r="A20" s="15" t="s">
        <v>102</v>
      </c>
      <c r="B20" s="16" t="s">
        <v>119</v>
      </c>
      <c r="C20" s="16" t="s">
        <v>103</v>
      </c>
      <c r="D20" s="16" t="s">
        <v>129</v>
      </c>
      <c r="E20" s="17" t="n">
        <v>412800000</v>
      </c>
      <c r="F20" s="17" t="n">
        <v>430000000</v>
      </c>
      <c r="G20" s="17" t="n">
        <v>447200000</v>
      </c>
      <c r="H20" s="17" t="n">
        <v>412800000</v>
      </c>
      <c r="I20" s="17" t="n">
        <v>430000000</v>
      </c>
      <c r="J20" s="17" t="n">
        <v>447200000</v>
      </c>
      <c r="K20" s="17" t="n">
        <v>412800000</v>
      </c>
      <c r="L20" s="17" t="n">
        <v>430000000</v>
      </c>
      <c r="M20" s="17" t="n">
        <v>447200000</v>
      </c>
      <c r="N20" s="17" t="n">
        <v>412800000</v>
      </c>
      <c r="O20" s="17" t="n">
        <v>430000000</v>
      </c>
      <c r="P20" s="17" t="n">
        <v>447200000</v>
      </c>
      <c r="Q20" s="18" t="n">
        <f aca="false">SUM(E20:P20)</f>
        <v>5160000000</v>
      </c>
      <c r="R20" s="21" t="str">
        <f aca="false">IFERROR(INDEX(Listas!$J$5:$J$11,MATCH(D20,Listas!$H$5:$H$11,0)),"Cuenta no encontrada")</f>
        <v>Gastos de administración</v>
      </c>
    </row>
    <row r="21" customFormat="false" ht="15" hidden="false" customHeight="false" outlineLevel="0" collapsed="false">
      <c r="A21" s="15" t="s">
        <v>102</v>
      </c>
      <c r="B21" s="16" t="s">
        <v>119</v>
      </c>
      <c r="C21" s="16" t="s">
        <v>103</v>
      </c>
      <c r="D21" s="16" t="s">
        <v>121</v>
      </c>
      <c r="E21" s="17" t="n">
        <v>254800000</v>
      </c>
      <c r="F21" s="17" t="n">
        <v>260000000</v>
      </c>
      <c r="G21" s="17" t="n">
        <v>265200000</v>
      </c>
      <c r="H21" s="17" t="n">
        <v>254800000</v>
      </c>
      <c r="I21" s="17" t="n">
        <v>260000000</v>
      </c>
      <c r="J21" s="17" t="n">
        <v>265200000</v>
      </c>
      <c r="K21" s="17" t="n">
        <v>254800000</v>
      </c>
      <c r="L21" s="17" t="n">
        <v>260000000</v>
      </c>
      <c r="M21" s="17" t="n">
        <v>265200000</v>
      </c>
      <c r="N21" s="17" t="n">
        <v>254800000</v>
      </c>
      <c r="O21" s="17" t="n">
        <v>260000000</v>
      </c>
      <c r="P21" s="17" t="n">
        <v>265200000</v>
      </c>
      <c r="Q21" s="18" t="n">
        <f aca="false">SUM(E21:P21)</f>
        <v>3120000000</v>
      </c>
      <c r="R21" s="21" t="str">
        <f aca="false">IFERROR(INDEX(Listas!$J$5:$J$11,MATCH(D21,Listas!$H$5:$H$11,0)),"Cuenta no encontrada")</f>
        <v>Gastos de administración</v>
      </c>
    </row>
    <row r="22" customFormat="false" ht="15" hidden="false" customHeight="false" outlineLevel="0" collapsed="false">
      <c r="A22" s="15" t="s">
        <v>102</v>
      </c>
      <c r="B22" s="16" t="s">
        <v>125</v>
      </c>
      <c r="C22" s="16" t="s">
        <v>103</v>
      </c>
      <c r="D22" s="16" t="s">
        <v>126</v>
      </c>
      <c r="E22" s="17" t="n">
        <v>397700000</v>
      </c>
      <c r="F22" s="17" t="n">
        <v>410000000</v>
      </c>
      <c r="G22" s="17" t="n">
        <v>422300000</v>
      </c>
      <c r="H22" s="17" t="n">
        <v>397700000</v>
      </c>
      <c r="I22" s="17" t="n">
        <v>410000000</v>
      </c>
      <c r="J22" s="17" t="n">
        <v>422300000</v>
      </c>
      <c r="K22" s="17" t="n">
        <v>397700000</v>
      </c>
      <c r="L22" s="17" t="n">
        <v>410000000</v>
      </c>
      <c r="M22" s="17" t="n">
        <v>422300000</v>
      </c>
      <c r="N22" s="17" t="n">
        <v>397700000</v>
      </c>
      <c r="O22" s="17" t="n">
        <v>410000000</v>
      </c>
      <c r="P22" s="17" t="n">
        <v>422300000</v>
      </c>
      <c r="Q22" s="18" t="n">
        <f aca="false">SUM(E22:P22)</f>
        <v>4920000000</v>
      </c>
      <c r="R22" s="21" t="str">
        <f aca="false">IFERROR(INDEX(Listas!$J$5:$J$11,MATCH(D22,Listas!$H$5:$H$11,0)),"Cuenta no encontrada")</f>
        <v>Gastos de ventas</v>
      </c>
    </row>
    <row r="23" customFormat="false" ht="15" hidden="false" customHeight="false" outlineLevel="0" collapsed="false">
      <c r="A23" s="15" t="s">
        <v>102</v>
      </c>
      <c r="B23" s="16" t="s">
        <v>127</v>
      </c>
      <c r="C23" s="16" t="s">
        <v>130</v>
      </c>
      <c r="D23" s="16" t="s">
        <v>128</v>
      </c>
      <c r="E23" s="17" t="n">
        <v>150000000</v>
      </c>
      <c r="F23" s="17" t="n">
        <v>150000000</v>
      </c>
      <c r="G23" s="17" t="n">
        <v>150000000</v>
      </c>
      <c r="H23" s="17" t="n">
        <v>150000000</v>
      </c>
      <c r="I23" s="17" t="n">
        <v>150000000</v>
      </c>
      <c r="J23" s="17" t="n">
        <v>150000000</v>
      </c>
      <c r="K23" s="17" t="n">
        <v>150000000</v>
      </c>
      <c r="L23" s="17" t="n">
        <v>150000000</v>
      </c>
      <c r="M23" s="17" t="n">
        <v>150000000</v>
      </c>
      <c r="N23" s="17" t="n">
        <v>150000000</v>
      </c>
      <c r="O23" s="17" t="n">
        <v>150000000</v>
      </c>
      <c r="P23" s="17" t="n">
        <v>150000000</v>
      </c>
      <c r="Q23" s="18" t="n">
        <f aca="false">SUM(E23:P23)</f>
        <v>1800000000</v>
      </c>
      <c r="R23" s="21" t="str">
        <f aca="false">IFERROR(INDEX(Listas!$J$5:$J$11,MATCH(D23,Listas!$H$5:$H$11,0)),"Cuenta no encontrada")</f>
        <v>Gastos de administración</v>
      </c>
    </row>
    <row r="24" customFormat="false" ht="15" hidden="false" customHeight="false" outlineLevel="0" collapsed="false">
      <c r="A24" s="13" t="s">
        <v>131</v>
      </c>
      <c r="E24" s="22" t="n">
        <f aca="false">SUM(E10:E23)</f>
        <v>9743900000</v>
      </c>
      <c r="F24" s="22" t="n">
        <f aca="false">SUM(F10:F23)</f>
        <v>9900000000</v>
      </c>
      <c r="G24" s="22" t="n">
        <f aca="false">SUM(G10:G23)</f>
        <v>10056100000</v>
      </c>
      <c r="H24" s="22" t="n">
        <f aca="false">SUM(H10:H23)</f>
        <v>9743900000</v>
      </c>
      <c r="I24" s="22" t="n">
        <f aca="false">SUM(I10:I23)</f>
        <v>9900000000</v>
      </c>
      <c r="J24" s="22" t="n">
        <f aca="false">SUM(J10:J23)</f>
        <v>10056100000</v>
      </c>
      <c r="K24" s="22" t="n">
        <f aca="false">SUM(K10:K23)</f>
        <v>10064900000</v>
      </c>
      <c r="L24" s="22" t="n">
        <f aca="false">SUM(L10:L23)</f>
        <v>10221000000</v>
      </c>
      <c r="M24" s="22" t="n">
        <f aca="false">SUM(M10:M23)</f>
        <v>10377100000</v>
      </c>
      <c r="N24" s="22" t="n">
        <f aca="false">SUM(N10:N23)</f>
        <v>10064900000</v>
      </c>
      <c r="O24" s="22" t="n">
        <f aca="false">SUM(O10:O23)</f>
        <v>10221000000</v>
      </c>
      <c r="P24" s="22" t="n">
        <f aca="false">SUM(P10:P23)</f>
        <v>12802100000</v>
      </c>
      <c r="Q24" s="22" t="n">
        <f aca="false">SUM(Q10:Q23)</f>
        <v>123151000000</v>
      </c>
    </row>
    <row r="26" customFormat="false" ht="15" hidden="false" customHeight="false" outlineLevel="0" collapsed="false">
      <c r="A26" s="11" t="s">
        <v>108</v>
      </c>
    </row>
    <row r="27" customFormat="false" ht="15" hidden="false" customHeight="false" outlineLevel="0" collapsed="false">
      <c r="A27" s="20" t="s">
        <v>132</v>
      </c>
    </row>
    <row r="28" customFormat="false" ht="15" hidden="false" customHeight="false" outlineLevel="0" collapsed="false">
      <c r="A28" s="20" t="s">
        <v>133</v>
      </c>
    </row>
    <row r="29" customFormat="false" ht="15" hidden="false" customHeight="false" outlineLevel="0" collapsed="false">
      <c r="A29" s="20" t="s">
        <v>134</v>
      </c>
    </row>
  </sheetData>
  <dataValidations count="6">
    <dataValidation allowBlank="true" error="Elija un miembro de la lista Sociedades (hoja Listas)." errorStyle="stop" errorTitle="Miembro no válido" operator="between" showDropDown="false" showErrorMessage="true" showInputMessage="false" sqref="A10:A23" type="list">
      <formula1>Listas!$A$5:$A$7</formula1>
      <formula2>0</formula2>
    </dataValidation>
    <dataValidation allowBlank="true" error="Elija un miembro de la lista Cecos (hoja Listas)." errorStyle="stop" errorTitle="Miembro no válido" operator="between" showDropDown="false" showErrorMessage="true" showInputMessage="false" sqref="B10:B23" type="list">
      <formula1>Listas!$C$5:$C$8</formula1>
      <formula2>0</formula2>
    </dataValidation>
    <dataValidation allowBlank="true" error="Elija un miembro de la lista Cebes (hoja Listas)." errorStyle="stop" errorTitle="Miembro no válido" operator="between" showDropDown="false" showErrorMessage="true" showInputMessage="false" sqref="C10:C23" type="list">
      <formula1>Listas!$B$5:$B$8</formula1>
      <formula2>0</formula2>
    </dataValidation>
    <dataValidation allowBlank="true" error="Elija un miembro de la lista Cuentas_Egresos (hoja Listas)." errorStyle="stop" errorTitle="Miembro no válido" operator="between" showDropDown="false" showErrorMessage="true" showInputMessage="false" sqref="D10:D23" type="list">
      <formula1>Listas!$H$5:$H$11</formula1>
      <formula2>0</formula2>
    </dataValidation>
    <dataValidation allowBlank="true" error="Elija un miembro de la lista Versión (hoja Listas)." errorStyle="stop" errorTitle="Miembro no válido" operator="between" showDropDown="false" showErrorMessage="true" showInputMessage="false" sqref="B5" type="list">
      <formula1>Listas!$F$5:$F$7</formula1>
      <formula2>0</formula2>
    </dataValidation>
    <dataValidation allowBlank="true" error="Elija un miembro de la lista Auditoria (hoja Listas)." errorStyle="stop" errorTitle="Miembro no válido" operator="between" showDropDown="false" showErrorMessage="true" showInputMessage="false" sqref="B6" type="list">
      <formula1>Listas!$E$5:$E$7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FE7"/>
    <pageSetUpPr fitToPage="true"/>
  </sheetPr>
  <dimension ref="A1:T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15" min="4" style="0" width="17"/>
  </cols>
  <sheetData>
    <row r="1" customFormat="false" ht="25.5" hidden="false" customHeight="true" outlineLevel="0" collapsed="false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136</v>
      </c>
    </row>
    <row r="3" customFormat="false" ht="15" hidden="false" customHeight="false" outlineLevel="0" collapsed="false">
      <c r="A3" s="11" t="s">
        <v>62</v>
      </c>
    </row>
    <row r="4" customFormat="false" ht="15" hidden="false" customHeight="false" outlineLevel="0" collapsed="false">
      <c r="A4" s="12" t="s">
        <v>50</v>
      </c>
      <c r="B4" s="13" t="s">
        <v>137</v>
      </c>
    </row>
    <row r="5" customFormat="false" ht="15" hidden="false" customHeight="false" outlineLevel="0" collapsed="false">
      <c r="A5" s="12" t="s">
        <v>64</v>
      </c>
      <c r="B5" s="7" t="s">
        <v>65</v>
      </c>
    </row>
    <row r="6" customFormat="false" ht="15" hidden="false" customHeight="false" outlineLevel="0" collapsed="false">
      <c r="A6" s="12" t="s">
        <v>70</v>
      </c>
      <c r="B6" s="7" t="s">
        <v>24</v>
      </c>
    </row>
    <row r="7" customFormat="false" ht="15" hidden="false" customHeight="false" outlineLevel="0" collapsed="false">
      <c r="A7" s="12" t="s">
        <v>71</v>
      </c>
      <c r="B7" s="7" t="s">
        <v>130</v>
      </c>
    </row>
    <row r="8" customFormat="false" ht="15" hidden="false" customHeight="false" outlineLevel="0" collapsed="false">
      <c r="A8" s="12" t="s">
        <v>66</v>
      </c>
      <c r="B8" s="7" t="s">
        <v>138</v>
      </c>
    </row>
    <row r="9" customFormat="false" ht="15" hidden="false" customHeight="false" outlineLevel="0" collapsed="false">
      <c r="A9" s="12" t="s">
        <v>68</v>
      </c>
      <c r="B9" s="7" t="s">
        <v>69</v>
      </c>
    </row>
    <row r="11" customFormat="false" ht="30" hidden="false" customHeight="true" outlineLevel="0" collapsed="false">
      <c r="A11" s="14" t="s">
        <v>139</v>
      </c>
      <c r="B11" s="14" t="s">
        <v>140</v>
      </c>
      <c r="C11" s="14" t="s">
        <v>141</v>
      </c>
      <c r="D11" s="14" t="s">
        <v>75</v>
      </c>
      <c r="E11" s="14" t="s">
        <v>76</v>
      </c>
      <c r="F11" s="14" t="s">
        <v>77</v>
      </c>
      <c r="G11" s="14" t="s">
        <v>78</v>
      </c>
      <c r="H11" s="14" t="s">
        <v>79</v>
      </c>
      <c r="I11" s="14" t="s">
        <v>80</v>
      </c>
      <c r="J11" s="14" t="s">
        <v>81</v>
      </c>
      <c r="K11" s="14" t="s">
        <v>82</v>
      </c>
      <c r="L11" s="14" t="s">
        <v>83</v>
      </c>
      <c r="M11" s="14" t="s">
        <v>84</v>
      </c>
      <c r="N11" s="14" t="s">
        <v>85</v>
      </c>
      <c r="O11" s="14" t="s">
        <v>86</v>
      </c>
    </row>
    <row r="12" customFormat="false" ht="15" hidden="false" customHeight="false" outlineLevel="0" collapsed="false">
      <c r="A12" s="23" t="s">
        <v>142</v>
      </c>
      <c r="B12" s="23" t="s">
        <v>143</v>
      </c>
      <c r="C12" s="23" t="s">
        <v>144</v>
      </c>
      <c r="D12" s="24" t="n">
        <f aca="false">Balance!D6*Supuestos!$B$5</f>
        <v>44488222666.6667</v>
      </c>
      <c r="E12" s="24" t="n">
        <f aca="false">Balance!E6*Supuestos!$B$5</f>
        <v>42291580000</v>
      </c>
      <c r="F12" s="24" t="n">
        <f aca="false">Balance!F6*Supuestos!$B$5</f>
        <v>34497400666.6667</v>
      </c>
      <c r="G12" s="24" t="n">
        <f aca="false">Balance!G6*Supuestos!$B$5</f>
        <v>41312316666.6666</v>
      </c>
      <c r="H12" s="24" t="n">
        <f aca="false">Balance!H6*Supuestos!$B$5</f>
        <v>41034593333.3333</v>
      </c>
      <c r="I12" s="24" t="n">
        <f aca="false">Balance!I6*Supuestos!$B$5</f>
        <v>43551234000</v>
      </c>
      <c r="J12" s="24" t="n">
        <f aca="false">Balance!J6*Supuestos!$B$5</f>
        <v>50436295200</v>
      </c>
      <c r="K12" s="24" t="n">
        <f aca="false">Balance!K6*Supuestos!$B$5</f>
        <v>52021897866.6666</v>
      </c>
      <c r="L12" s="24" t="n">
        <f aca="false">Balance!L6*Supuestos!$B$5</f>
        <v>55427160000</v>
      </c>
      <c r="M12" s="24" t="n">
        <f aca="false">Balance!M6*Supuestos!$B$5</f>
        <v>59803556533.3333</v>
      </c>
      <c r="N12" s="24" t="n">
        <f aca="false">Balance!N6*Supuestos!$B$5</f>
        <v>69300592800</v>
      </c>
      <c r="O12" s="24" t="n">
        <f aca="false">Balance!O6*Supuestos!$B$5</f>
        <v>62663969066.6666</v>
      </c>
    </row>
    <row r="13" customFormat="false" ht="15" hidden="false" customHeight="false" outlineLevel="0" collapsed="false">
      <c r="A13" s="23" t="s">
        <v>145</v>
      </c>
      <c r="B13" s="23" t="s">
        <v>146</v>
      </c>
      <c r="C13" s="23" t="s">
        <v>144</v>
      </c>
      <c r="D13" s="24" t="n">
        <f aca="false">Balance!D7*Supuestos!$B$5</f>
        <v>81008400000</v>
      </c>
      <c r="E13" s="24" t="n">
        <f aca="false">Balance!E7*Supuestos!$B$5</f>
        <v>85048200000</v>
      </c>
      <c r="F13" s="24" t="n">
        <f aca="false">Balance!F7*Supuestos!$B$5</f>
        <v>95820150000</v>
      </c>
      <c r="G13" s="24" t="n">
        <f aca="false">Balance!G7*Supuestos!$B$5</f>
        <v>93807750000</v>
      </c>
      <c r="H13" s="24" t="n">
        <f aca="false">Balance!H7*Supuestos!$B$5</f>
        <v>98745000000</v>
      </c>
      <c r="I13" s="24" t="n">
        <f aca="false">Balance!I7*Supuestos!$B$5</f>
        <v>101669850000</v>
      </c>
      <c r="J13" s="24" t="n">
        <f aca="false">Balance!J7*Supuestos!$B$5</f>
        <v>100603080000</v>
      </c>
      <c r="K13" s="24" t="n">
        <f aca="false">Balance!K7*Supuestos!$B$5</f>
        <v>104788920000</v>
      </c>
      <c r="L13" s="24" t="n">
        <f aca="false">Balance!L7*Supuestos!$B$5</f>
        <v>107830800000</v>
      </c>
      <c r="M13" s="24" t="n">
        <f aca="false">Balance!M7*Supuestos!$B$5</f>
        <v>110872680000</v>
      </c>
      <c r="N13" s="24" t="n">
        <f aca="false">Balance!N7*Supuestos!$B$5</f>
        <v>108990360000</v>
      </c>
      <c r="O13" s="24" t="n">
        <f aca="false">Balance!O7*Supuestos!$B$5</f>
        <v>121142280000</v>
      </c>
    </row>
    <row r="14" customFormat="false" ht="15" hidden="false" customHeight="false" outlineLevel="0" collapsed="false">
      <c r="A14" s="23" t="s">
        <v>147</v>
      </c>
      <c r="B14" s="23" t="s">
        <v>148</v>
      </c>
      <c r="C14" s="23" t="s">
        <v>144</v>
      </c>
      <c r="D14" s="24" t="n">
        <f aca="false">Balance!D8*Supuestos!$B$5</f>
        <v>73447616000</v>
      </c>
      <c r="E14" s="24" t="n">
        <f aca="false">Balance!E8*Supuestos!$B$5</f>
        <v>77110368000</v>
      </c>
      <c r="F14" s="24" t="n">
        <f aca="false">Balance!F8*Supuestos!$B$5</f>
        <v>86876936000</v>
      </c>
      <c r="G14" s="24" t="n">
        <f aca="false">Balance!G8*Supuestos!$B$5</f>
        <v>85052360000</v>
      </c>
      <c r="H14" s="24" t="n">
        <f aca="false">Balance!H8*Supuestos!$B$5</f>
        <v>89528800000</v>
      </c>
      <c r="I14" s="24" t="n">
        <f aca="false">Balance!I8*Supuestos!$B$5</f>
        <v>92180664000</v>
      </c>
      <c r="J14" s="24" t="n">
        <f aca="false">Balance!J8*Supuestos!$B$5</f>
        <v>91213459200</v>
      </c>
      <c r="K14" s="24" t="n">
        <f aca="false">Balance!K8*Supuestos!$B$5</f>
        <v>95008620800</v>
      </c>
      <c r="L14" s="24" t="n">
        <f aca="false">Balance!L8*Supuestos!$B$5</f>
        <v>97766592000</v>
      </c>
      <c r="M14" s="24" t="n">
        <f aca="false">Balance!M8*Supuestos!$B$5</f>
        <v>100524563200</v>
      </c>
      <c r="N14" s="24" t="n">
        <f aca="false">Balance!N8*Supuestos!$B$5</f>
        <v>98817926400</v>
      </c>
      <c r="O14" s="24" t="n">
        <f aca="false">Balance!O8*Supuestos!$B$5</f>
        <v>109835667200</v>
      </c>
    </row>
    <row r="15" customFormat="false" ht="15" hidden="false" customHeight="false" outlineLevel="0" collapsed="false">
      <c r="A15" s="23" t="s">
        <v>149</v>
      </c>
      <c r="B15" s="23" t="s">
        <v>150</v>
      </c>
      <c r="C15" s="23" t="s">
        <v>144</v>
      </c>
      <c r="D15" s="24" t="n">
        <f aca="false">Balance!D9*Supuestos!$B$5</f>
        <v>423000000000</v>
      </c>
      <c r="E15" s="24" t="n">
        <f aca="false">Balance!E9*Supuestos!$B$5</f>
        <v>426000000000</v>
      </c>
      <c r="F15" s="24" t="n">
        <f aca="false">Balance!F9*Supuestos!$B$5</f>
        <v>429000000000</v>
      </c>
      <c r="G15" s="24" t="n">
        <f aca="false">Balance!G9*Supuestos!$B$5</f>
        <v>432000000000</v>
      </c>
      <c r="H15" s="24" t="n">
        <f aca="false">Balance!H9*Supuestos!$B$5</f>
        <v>435000000000</v>
      </c>
      <c r="I15" s="24" t="n">
        <f aca="false">Balance!I9*Supuestos!$B$5</f>
        <v>438000000000</v>
      </c>
      <c r="J15" s="24" t="n">
        <f aca="false">Balance!J9*Supuestos!$B$5</f>
        <v>441000000000</v>
      </c>
      <c r="K15" s="24" t="n">
        <f aca="false">Balance!K9*Supuestos!$B$5</f>
        <v>444000000000</v>
      </c>
      <c r="L15" s="24" t="n">
        <f aca="false">Balance!L9*Supuestos!$B$5</f>
        <v>447000000000</v>
      </c>
      <c r="M15" s="24" t="n">
        <f aca="false">Balance!M9*Supuestos!$B$5</f>
        <v>450000000000</v>
      </c>
      <c r="N15" s="24" t="n">
        <f aca="false">Balance!N9*Supuestos!$B$5</f>
        <v>453000000000</v>
      </c>
      <c r="O15" s="24" t="n">
        <f aca="false">Balance!O9*Supuestos!$B$5</f>
        <v>456000000000</v>
      </c>
    </row>
    <row r="16" customFormat="false" ht="15" hidden="false" customHeight="false" outlineLevel="0" collapsed="false">
      <c r="A16" s="23" t="s">
        <v>151</v>
      </c>
      <c r="B16" s="23" t="s">
        <v>152</v>
      </c>
      <c r="C16" s="23" t="s">
        <v>144</v>
      </c>
      <c r="D16" s="24" t="n">
        <f aca="false">Balance!D10*Supuestos!$B$5</f>
        <v>-153525000000</v>
      </c>
      <c r="E16" s="24" t="n">
        <f aca="false">Balance!E10*Supuestos!$B$5</f>
        <v>-157075000000</v>
      </c>
      <c r="F16" s="24" t="n">
        <f aca="false">Balance!F10*Supuestos!$B$5</f>
        <v>-160650000000</v>
      </c>
      <c r="G16" s="24" t="n">
        <f aca="false">Balance!G10*Supuestos!$B$5</f>
        <v>-164250000000</v>
      </c>
      <c r="H16" s="24" t="n">
        <f aca="false">Balance!H10*Supuestos!$B$5</f>
        <v>-167875000000</v>
      </c>
      <c r="I16" s="24" t="n">
        <f aca="false">Balance!I10*Supuestos!$B$5</f>
        <v>-171525000000</v>
      </c>
      <c r="J16" s="24" t="n">
        <f aca="false">Balance!J10*Supuestos!$B$5</f>
        <v>-175200000000</v>
      </c>
      <c r="K16" s="24" t="n">
        <f aca="false">Balance!K10*Supuestos!$B$5</f>
        <v>-178900000000</v>
      </c>
      <c r="L16" s="24" t="n">
        <f aca="false">Balance!L10*Supuestos!$B$5</f>
        <v>-182625000000</v>
      </c>
      <c r="M16" s="24" t="n">
        <f aca="false">Balance!M10*Supuestos!$B$5</f>
        <v>-186375000000</v>
      </c>
      <c r="N16" s="24" t="n">
        <f aca="false">Balance!N10*Supuestos!$B$5</f>
        <v>-190150000000</v>
      </c>
      <c r="O16" s="24" t="n">
        <f aca="false">Balance!O10*Supuestos!$B$5</f>
        <v>-193950000000</v>
      </c>
    </row>
    <row r="17" customFormat="false" ht="15" hidden="false" customHeight="false" outlineLevel="0" collapsed="false">
      <c r="A17" s="23" t="s">
        <v>153</v>
      </c>
      <c r="B17" s="23" t="s">
        <v>154</v>
      </c>
      <c r="C17" s="23" t="s">
        <v>155</v>
      </c>
      <c r="D17" s="24" t="n">
        <f aca="false">-Balance!D14*Supuestos!$B$5</f>
        <v>-179000000000</v>
      </c>
      <c r="E17" s="24" t="n">
        <f aca="false">-Balance!E14*Supuestos!$B$5</f>
        <v>-178000000000</v>
      </c>
      <c r="F17" s="24" t="n">
        <f aca="false">-Balance!F14*Supuestos!$B$5</f>
        <v>-177000000000</v>
      </c>
      <c r="G17" s="24" t="n">
        <f aca="false">-Balance!G14*Supuestos!$B$5</f>
        <v>-176000000000</v>
      </c>
      <c r="H17" s="24" t="n">
        <f aca="false">-Balance!H14*Supuestos!$B$5</f>
        <v>-175000000000</v>
      </c>
      <c r="I17" s="24" t="n">
        <f aca="false">-Balance!I14*Supuestos!$B$5</f>
        <v>-174000000000</v>
      </c>
      <c r="J17" s="24" t="n">
        <f aca="false">-Balance!J14*Supuestos!$B$5</f>
        <v>-173000000000</v>
      </c>
      <c r="K17" s="24" t="n">
        <f aca="false">-Balance!K14*Supuestos!$B$5</f>
        <v>-172000000000</v>
      </c>
      <c r="L17" s="24" t="n">
        <f aca="false">-Balance!L14*Supuestos!$B$5</f>
        <v>-171000000000</v>
      </c>
      <c r="M17" s="24" t="n">
        <f aca="false">-Balance!M14*Supuestos!$B$5</f>
        <v>-170000000000</v>
      </c>
      <c r="N17" s="24" t="n">
        <f aca="false">-Balance!N14*Supuestos!$B$5</f>
        <v>-169000000000</v>
      </c>
      <c r="O17" s="24" t="n">
        <f aca="false">-Balance!O14*Supuestos!$B$5</f>
        <v>-168000000000</v>
      </c>
    </row>
    <row r="18" customFormat="false" ht="15" hidden="false" customHeight="false" outlineLevel="0" collapsed="false">
      <c r="A18" s="23" t="s">
        <v>156</v>
      </c>
      <c r="B18" s="23" t="s">
        <v>157</v>
      </c>
      <c r="C18" s="23" t="s">
        <v>155</v>
      </c>
      <c r="D18" s="24" t="n">
        <f aca="false">-Balance!D15*Supuestos!$B$5</f>
        <v>-61206346666.6667</v>
      </c>
      <c r="E18" s="24" t="n">
        <f aca="false">-Balance!E15*Supuestos!$B$5</f>
        <v>-64258640000</v>
      </c>
      <c r="F18" s="24" t="n">
        <f aca="false">-Balance!F15*Supuestos!$B$5</f>
        <v>-72397446666.6667</v>
      </c>
      <c r="G18" s="24" t="n">
        <f aca="false">-Balance!G15*Supuestos!$B$5</f>
        <v>-70876966666.6667</v>
      </c>
      <c r="H18" s="24" t="n">
        <f aca="false">-Balance!H15*Supuestos!$B$5</f>
        <v>-74607333333.3333</v>
      </c>
      <c r="I18" s="24" t="n">
        <f aca="false">-Balance!I15*Supuestos!$B$5</f>
        <v>-76817220000</v>
      </c>
      <c r="J18" s="24" t="n">
        <f aca="false">-Balance!J15*Supuestos!$B$5</f>
        <v>-76011216000</v>
      </c>
      <c r="K18" s="24" t="n">
        <f aca="false">-Balance!K15*Supuestos!$B$5</f>
        <v>-79173850666.6667</v>
      </c>
      <c r="L18" s="24" t="n">
        <f aca="false">-Balance!L15*Supuestos!$B$5</f>
        <v>-81472160000</v>
      </c>
      <c r="M18" s="24" t="n">
        <f aca="false">-Balance!M15*Supuestos!$B$5</f>
        <v>-83770469333.3333</v>
      </c>
      <c r="N18" s="24" t="n">
        <f aca="false">-Balance!N15*Supuestos!$B$5</f>
        <v>-82348272000</v>
      </c>
      <c r="O18" s="24" t="n">
        <f aca="false">-Balance!O15*Supuestos!$B$5</f>
        <v>-91529722666.6667</v>
      </c>
    </row>
    <row r="19" customFormat="false" ht="15" hidden="false" customHeight="false" outlineLevel="0" collapsed="false">
      <c r="A19" s="23" t="s">
        <v>158</v>
      </c>
      <c r="B19" s="23" t="s">
        <v>159</v>
      </c>
      <c r="C19" s="23" t="s">
        <v>155</v>
      </c>
      <c r="D19" s="24" t="n">
        <f aca="false">-Balance!D16*Supuestos!$B$5</f>
        <v>-774512199.999998</v>
      </c>
      <c r="E19" s="24" t="n">
        <f aca="false">-Balance!E16*Supuestos!$B$5</f>
        <v>-1790777800</v>
      </c>
      <c r="F19" s="24" t="n">
        <f aca="false">-Balance!F16*Supuestos!$B$5</f>
        <v>-3551463999.99999</v>
      </c>
      <c r="G19" s="24" t="n">
        <f aca="false">-Balance!G16*Supuestos!$B$5</f>
        <v>-5265910999.99999</v>
      </c>
      <c r="H19" s="24" t="n">
        <f aca="false">-Balance!H16*Supuestos!$B$5</f>
        <v>-7289120999.99999</v>
      </c>
      <c r="I19" s="24" t="n">
        <f aca="false">-Balance!I16*Supuestos!$B$5</f>
        <v>-9470834799.99999</v>
      </c>
      <c r="J19" s="24" t="n">
        <f aca="false">-Balance!J16*Supuestos!$B$5</f>
        <v>-11564566440</v>
      </c>
      <c r="K19" s="24" t="n">
        <f aca="false">-Balance!K16*Supuestos!$B$5</f>
        <v>-13910955800</v>
      </c>
      <c r="L19" s="24" t="n">
        <f aca="false">-Balance!L16*Supuestos!$B$5</f>
        <v>-16424587200</v>
      </c>
      <c r="M19" s="24" t="n">
        <f aca="false">-Balance!M16*Supuestos!$B$5</f>
        <v>-19269365640</v>
      </c>
      <c r="N19" s="24" t="n">
        <f aca="false">-Balance!N16*Supuestos!$B$5</f>
        <v>-21913712520</v>
      </c>
      <c r="O19" s="24" t="n">
        <f aca="false">-Balance!O16*Supuestos!$B$5</f>
        <v>-24556767760</v>
      </c>
    </row>
    <row r="20" customFormat="false" ht="15" hidden="false" customHeight="false" outlineLevel="0" collapsed="false">
      <c r="A20" s="23" t="s">
        <v>160</v>
      </c>
      <c r="B20" s="23" t="s">
        <v>161</v>
      </c>
      <c r="C20" s="23" t="s">
        <v>162</v>
      </c>
      <c r="D20" s="24" t="n">
        <f aca="false">-Balance!D20*Supuestos!$B$5</f>
        <v>-200000000000</v>
      </c>
      <c r="E20" s="24" t="n">
        <f aca="false">-Balance!E20*Supuestos!$B$5</f>
        <v>-200000000000</v>
      </c>
      <c r="F20" s="24" t="n">
        <f aca="false">-Balance!F20*Supuestos!$B$5</f>
        <v>-200000000000</v>
      </c>
      <c r="G20" s="24" t="n">
        <f aca="false">-Balance!G20*Supuestos!$B$5</f>
        <v>-200000000000</v>
      </c>
      <c r="H20" s="24" t="n">
        <f aca="false">-Balance!H20*Supuestos!$B$5</f>
        <v>-200000000000</v>
      </c>
      <c r="I20" s="24" t="n">
        <f aca="false">-Balance!I20*Supuestos!$B$5</f>
        <v>-200000000000</v>
      </c>
      <c r="J20" s="24" t="n">
        <f aca="false">-Balance!J20*Supuestos!$B$5</f>
        <v>-200000000000</v>
      </c>
      <c r="K20" s="24" t="n">
        <f aca="false">-Balance!K20*Supuestos!$B$5</f>
        <v>-200000000000</v>
      </c>
      <c r="L20" s="24" t="n">
        <f aca="false">-Balance!L20*Supuestos!$B$5</f>
        <v>-200000000000</v>
      </c>
      <c r="M20" s="24" t="n">
        <f aca="false">-Balance!M20*Supuestos!$B$5</f>
        <v>-200000000000</v>
      </c>
      <c r="N20" s="24" t="n">
        <f aca="false">-Balance!N20*Supuestos!$B$5</f>
        <v>-200000000000</v>
      </c>
      <c r="O20" s="24" t="n">
        <f aca="false">-Balance!O20*Supuestos!$B$5</f>
        <v>-200000000000</v>
      </c>
    </row>
    <row r="21" customFormat="false" ht="15" hidden="false" customHeight="false" outlineLevel="0" collapsed="false">
      <c r="A21" s="23" t="s">
        <v>163</v>
      </c>
      <c r="B21" s="23" t="s">
        <v>164</v>
      </c>
      <c r="C21" s="23" t="s">
        <v>162</v>
      </c>
      <c r="D21" s="24" t="n">
        <f aca="false">-Balance!D21*Supuestos!$B$5</f>
        <v>-26000000000</v>
      </c>
      <c r="E21" s="24" t="n">
        <f aca="false">-Balance!E21*Supuestos!$B$5</f>
        <v>-26000000000</v>
      </c>
      <c r="F21" s="24" t="n">
        <f aca="false">-Balance!F21*Supuestos!$B$5</f>
        <v>-26000000000</v>
      </c>
      <c r="G21" s="24" t="n">
        <f aca="false">-Balance!G21*Supuestos!$B$5</f>
        <v>-26000000000</v>
      </c>
      <c r="H21" s="24" t="n">
        <f aca="false">-Balance!H21*Supuestos!$B$5</f>
        <v>-26000000000</v>
      </c>
      <c r="I21" s="24" t="n">
        <f aca="false">-Balance!I21*Supuestos!$B$5</f>
        <v>-26000000000</v>
      </c>
      <c r="J21" s="24" t="n">
        <f aca="false">-Balance!J21*Supuestos!$B$5</f>
        <v>-26000000000</v>
      </c>
      <c r="K21" s="24" t="n">
        <f aca="false">-Balance!K21*Supuestos!$B$5</f>
        <v>-26000000000</v>
      </c>
      <c r="L21" s="24" t="n">
        <f aca="false">-Balance!L21*Supuestos!$B$5</f>
        <v>-26000000000</v>
      </c>
      <c r="M21" s="24" t="n">
        <f aca="false">-Balance!M21*Supuestos!$B$5</f>
        <v>-26000000000</v>
      </c>
      <c r="N21" s="24" t="n">
        <f aca="false">-Balance!N21*Supuestos!$B$5</f>
        <v>-26000000000</v>
      </c>
      <c r="O21" s="24" t="n">
        <f aca="false">-Balance!O21*Supuestos!$B$5</f>
        <v>-26000000000</v>
      </c>
    </row>
    <row r="22" customFormat="false" ht="15" hidden="false" customHeight="false" outlineLevel="0" collapsed="false">
      <c r="A22" s="23" t="s">
        <v>165</v>
      </c>
      <c r="B22" s="23" t="s">
        <v>166</v>
      </c>
      <c r="C22" s="23" t="s">
        <v>162</v>
      </c>
      <c r="D22" s="24" t="n">
        <f aca="false">-Balance!D22*Supuestos!$B$5</f>
        <v>-1438379800</v>
      </c>
      <c r="E22" s="24" t="n">
        <f aca="false">-Balance!E22*Supuestos!$B$5</f>
        <v>-3325730199.99999</v>
      </c>
      <c r="F22" s="24" t="n">
        <f aca="false">-Balance!F22*Supuestos!$B$5</f>
        <v>-6595575999.99999</v>
      </c>
      <c r="G22" s="24" t="n">
        <f aca="false">-Balance!G22*Supuestos!$B$5</f>
        <v>-9779548999.99999</v>
      </c>
      <c r="H22" s="24" t="n">
        <f aca="false">-Balance!H22*Supuestos!$B$5</f>
        <v>-13536939000</v>
      </c>
      <c r="I22" s="24" t="n">
        <f aca="false">-Balance!I22*Supuestos!$B$5</f>
        <v>-17588693200</v>
      </c>
      <c r="J22" s="24" t="n">
        <f aca="false">-Balance!J22*Supuestos!$B$5</f>
        <v>-21477051960</v>
      </c>
      <c r="K22" s="24" t="n">
        <f aca="false">-Balance!K22*Supuestos!$B$5</f>
        <v>-25834632200</v>
      </c>
      <c r="L22" s="24" t="n">
        <f aca="false">-Balance!L22*Supuestos!$B$5</f>
        <v>-30502804800</v>
      </c>
      <c r="M22" s="24" t="n">
        <f aca="false">-Balance!M22*Supuestos!$B$5</f>
        <v>-35785964760</v>
      </c>
      <c r="N22" s="24" t="n">
        <f aca="false">-Balance!N22*Supuestos!$B$5</f>
        <v>-40696894680</v>
      </c>
      <c r="O22" s="24" t="n">
        <f aca="false">-Balance!O22*Supuestos!$B$5</f>
        <v>-45605425840</v>
      </c>
    </row>
    <row r="23" customFormat="false" ht="15" hidden="false" customHeight="false" outlineLevel="0" collapsed="false">
      <c r="A23" s="13" t="s">
        <v>167</v>
      </c>
      <c r="D23" s="22" t="n">
        <f aca="false">ROUND(SUM(D12:D22),0)</f>
        <v>0</v>
      </c>
      <c r="E23" s="22" t="n">
        <f aca="false">ROUND(SUM(E12:E22),0)</f>
        <v>0</v>
      </c>
      <c r="F23" s="22" t="n">
        <f aca="false">ROUND(SUM(F12:F22),0)</f>
        <v>0</v>
      </c>
      <c r="G23" s="22" t="n">
        <f aca="false">ROUND(SUM(G12:G22),0)</f>
        <v>0</v>
      </c>
      <c r="H23" s="22" t="n">
        <f aca="false">ROUND(SUM(H12:H22),0)</f>
        <v>0</v>
      </c>
      <c r="I23" s="22" t="n">
        <f aca="false">ROUND(SUM(I12:I22),0)</f>
        <v>0</v>
      </c>
      <c r="J23" s="22" t="n">
        <f aca="false">ROUND(SUM(J12:J22),0)</f>
        <v>0</v>
      </c>
      <c r="K23" s="22" t="n">
        <f aca="false">ROUND(SUM(K12:K22),0)</f>
        <v>0</v>
      </c>
      <c r="L23" s="22" t="n">
        <f aca="false">ROUND(SUM(L12:L22),0)</f>
        <v>0</v>
      </c>
      <c r="M23" s="22" t="n">
        <f aca="false">ROUND(SUM(M12:M22),0)</f>
        <v>0</v>
      </c>
      <c r="N23" s="22" t="n">
        <f aca="false">ROUND(SUM(N12:N22),0)</f>
        <v>0</v>
      </c>
      <c r="O23" s="22" t="n">
        <f aca="false">ROUND(SUM(O12:O22),0)</f>
        <v>0</v>
      </c>
    </row>
    <row r="25" customFormat="false" ht="15" hidden="false" customHeight="false" outlineLevel="0" collapsed="false">
      <c r="A25" s="11" t="s">
        <v>108</v>
      </c>
    </row>
    <row r="26" customFormat="false" ht="15" hidden="false" customHeight="false" outlineLevel="0" collapsed="false">
      <c r="A26" s="20" t="s">
        <v>168</v>
      </c>
    </row>
    <row r="27" customFormat="false" ht="15" hidden="false" customHeight="false" outlineLevel="0" collapsed="false">
      <c r="A27" s="20" t="s">
        <v>169</v>
      </c>
    </row>
    <row r="28" customFormat="false" ht="15" hidden="false" customHeight="false" outlineLevel="0" collapsed="false">
      <c r="A28" s="20" t="s">
        <v>170</v>
      </c>
    </row>
  </sheetData>
  <conditionalFormatting sqref="D23:O23">
    <cfRule type="cellIs" priority="2" operator="notEqual" aboveAverage="0" equalAverage="0" bottom="0" percent="0" rank="0" text="" dxfId="0">
      <formula>0</formula>
    </cfRule>
  </conditionalFormatting>
  <dataValidations count="1">
    <dataValidation allowBlank="true" error="Elija un miembro de la lista Versión (hoja Listas)." errorStyle="stop" errorTitle="Miembro no válido" operator="between" showDropDown="false" showErrorMessage="true" showInputMessage="false" sqref="B5" type="list">
      <formula1>Listas!$F$5:$F$7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FE7"/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172</v>
      </c>
    </row>
    <row r="4" customFormat="false" ht="30" hidden="false" customHeight="true" outlineLevel="0" collapsed="false">
      <c r="A4" s="14" t="s">
        <v>173</v>
      </c>
      <c r="B4" s="14" t="s">
        <v>70</v>
      </c>
      <c r="C4" s="14" t="s">
        <v>71</v>
      </c>
      <c r="D4" s="14" t="s">
        <v>72</v>
      </c>
      <c r="E4" s="14" t="s">
        <v>73</v>
      </c>
      <c r="F4" s="14" t="s">
        <v>74</v>
      </c>
      <c r="G4" s="14" t="s">
        <v>66</v>
      </c>
      <c r="H4" s="14" t="s">
        <v>68</v>
      </c>
      <c r="I4" s="14" t="s">
        <v>174</v>
      </c>
    </row>
    <row r="5" customFormat="false" ht="15" hidden="false" customHeight="false" outlineLevel="0" collapsed="false">
      <c r="A5" s="25" t="s">
        <v>175</v>
      </c>
      <c r="B5" s="25" t="s">
        <v>24</v>
      </c>
      <c r="C5" s="25" t="s">
        <v>88</v>
      </c>
      <c r="D5" s="25" t="s">
        <v>89</v>
      </c>
      <c r="E5" s="25" t="s">
        <v>90</v>
      </c>
      <c r="F5" s="25" t="s">
        <v>91</v>
      </c>
      <c r="G5" s="25" t="s">
        <v>67</v>
      </c>
      <c r="H5" s="25" t="s">
        <v>69</v>
      </c>
      <c r="I5" s="24" t="n">
        <f aca="false">Carga_Ingresos!F10</f>
        <v>1640</v>
      </c>
    </row>
    <row r="6" customFormat="false" ht="15" hidden="false" customHeight="false" outlineLevel="0" collapsed="false">
      <c r="A6" s="25" t="s">
        <v>175</v>
      </c>
      <c r="B6" s="25" t="s">
        <v>24</v>
      </c>
      <c r="C6" s="25" t="s">
        <v>88</v>
      </c>
      <c r="D6" s="25" t="s">
        <v>89</v>
      </c>
      <c r="E6" s="25" t="s">
        <v>90</v>
      </c>
      <c r="F6" s="25" t="s">
        <v>92</v>
      </c>
      <c r="G6" s="25" t="s">
        <v>67</v>
      </c>
      <c r="H6" s="25" t="s">
        <v>69</v>
      </c>
      <c r="I6" s="24" t="n">
        <f aca="false">Carga_Ingresos!F11</f>
        <v>9890000</v>
      </c>
    </row>
    <row r="7" customFormat="false" ht="15" hidden="false" customHeight="false" outlineLevel="0" collapsed="false">
      <c r="A7" s="25" t="s">
        <v>176</v>
      </c>
      <c r="B7" s="25" t="s">
        <v>24</v>
      </c>
      <c r="C7" s="25" t="s">
        <v>88</v>
      </c>
      <c r="D7" s="25" t="s">
        <v>89</v>
      </c>
      <c r="E7" s="25" t="s">
        <v>90</v>
      </c>
      <c r="F7" s="25" t="s">
        <v>91</v>
      </c>
      <c r="G7" s="25" t="s">
        <v>67</v>
      </c>
      <c r="H7" s="25" t="s">
        <v>69</v>
      </c>
      <c r="I7" s="24" t="n">
        <f aca="false">Carga_Ingresos!G10</f>
        <v>1720</v>
      </c>
    </row>
    <row r="8" customFormat="false" ht="15" hidden="false" customHeight="false" outlineLevel="0" collapsed="false">
      <c r="A8" s="25" t="s">
        <v>176</v>
      </c>
      <c r="B8" s="25" t="s">
        <v>24</v>
      </c>
      <c r="C8" s="25" t="s">
        <v>88</v>
      </c>
      <c r="D8" s="25" t="s">
        <v>89</v>
      </c>
      <c r="E8" s="25" t="s">
        <v>90</v>
      </c>
      <c r="F8" s="25" t="s">
        <v>92</v>
      </c>
      <c r="G8" s="25" t="s">
        <v>67</v>
      </c>
      <c r="H8" s="25" t="s">
        <v>69</v>
      </c>
      <c r="I8" s="24" t="n">
        <f aca="false">Carga_Ingresos!G11</f>
        <v>9890000</v>
      </c>
    </row>
    <row r="9" customFormat="false" ht="15" hidden="false" customHeight="false" outlineLevel="0" collapsed="false">
      <c r="A9" s="25" t="s">
        <v>175</v>
      </c>
      <c r="B9" s="25" t="s">
        <v>24</v>
      </c>
      <c r="C9" s="25" t="s">
        <v>88</v>
      </c>
      <c r="D9" s="25" t="s">
        <v>94</v>
      </c>
      <c r="E9" s="25" t="s">
        <v>95</v>
      </c>
      <c r="F9" s="25" t="s">
        <v>91</v>
      </c>
      <c r="G9" s="25" t="s">
        <v>67</v>
      </c>
      <c r="H9" s="25" t="s">
        <v>69</v>
      </c>
      <c r="I9" s="24" t="n">
        <f aca="false">Carga_Ingresos!F13</f>
        <v>738</v>
      </c>
    </row>
    <row r="10" customFormat="false" ht="15" hidden="false" customHeight="false" outlineLevel="0" collapsed="false">
      <c r="A10" s="25" t="s">
        <v>175</v>
      </c>
      <c r="B10" s="25" t="s">
        <v>24</v>
      </c>
      <c r="C10" s="25" t="s">
        <v>88</v>
      </c>
      <c r="D10" s="25" t="s">
        <v>94</v>
      </c>
      <c r="E10" s="25" t="s">
        <v>95</v>
      </c>
      <c r="F10" s="25" t="s">
        <v>92</v>
      </c>
      <c r="G10" s="25" t="s">
        <v>67</v>
      </c>
      <c r="H10" s="25" t="s">
        <v>69</v>
      </c>
      <c r="I10" s="24" t="n">
        <f aca="false">Carga_Ingresos!F14</f>
        <v>14500000</v>
      </c>
    </row>
    <row r="11" customFormat="false" ht="15" hidden="false" customHeight="false" outlineLevel="0" collapsed="false">
      <c r="A11" s="25" t="s">
        <v>176</v>
      </c>
      <c r="B11" s="25" t="s">
        <v>24</v>
      </c>
      <c r="C11" s="25" t="s">
        <v>88</v>
      </c>
      <c r="D11" s="25" t="s">
        <v>94</v>
      </c>
      <c r="E11" s="25" t="s">
        <v>95</v>
      </c>
      <c r="F11" s="25" t="s">
        <v>91</v>
      </c>
      <c r="G11" s="25" t="s">
        <v>67</v>
      </c>
      <c r="H11" s="25" t="s">
        <v>69</v>
      </c>
      <c r="I11" s="24" t="n">
        <f aca="false">Carga_Ingresos!G13</f>
        <v>774</v>
      </c>
    </row>
    <row r="12" customFormat="false" ht="15" hidden="false" customHeight="false" outlineLevel="0" collapsed="false">
      <c r="A12" s="25" t="s">
        <v>176</v>
      </c>
      <c r="B12" s="25" t="s">
        <v>24</v>
      </c>
      <c r="C12" s="25" t="s">
        <v>88</v>
      </c>
      <c r="D12" s="25" t="s">
        <v>94</v>
      </c>
      <c r="E12" s="25" t="s">
        <v>95</v>
      </c>
      <c r="F12" s="25" t="s">
        <v>92</v>
      </c>
      <c r="G12" s="25" t="s">
        <v>67</v>
      </c>
      <c r="H12" s="25" t="s">
        <v>69</v>
      </c>
      <c r="I12" s="24" t="n">
        <f aca="false">Carga_Ingresos!G14</f>
        <v>14500000</v>
      </c>
    </row>
    <row r="13" customFormat="false" ht="15" hidden="false" customHeight="false" outlineLevel="0" collapsed="false">
      <c r="A13" s="25" t="s">
        <v>175</v>
      </c>
      <c r="B13" s="25" t="s">
        <v>96</v>
      </c>
      <c r="C13" s="25" t="s">
        <v>97</v>
      </c>
      <c r="D13" s="25" t="s">
        <v>98</v>
      </c>
      <c r="E13" s="25" t="s">
        <v>99</v>
      </c>
      <c r="F13" s="25" t="s">
        <v>91</v>
      </c>
      <c r="G13" s="25" t="s">
        <v>67</v>
      </c>
      <c r="H13" s="25" t="s">
        <v>69</v>
      </c>
      <c r="I13" s="24" t="n">
        <f aca="false">Carga_Ingresos!F16</f>
        <v>49</v>
      </c>
    </row>
    <row r="14" customFormat="false" ht="15" hidden="false" customHeight="false" outlineLevel="0" collapsed="false">
      <c r="A14" s="25" t="s">
        <v>175</v>
      </c>
      <c r="B14" s="25" t="s">
        <v>96</v>
      </c>
      <c r="C14" s="25" t="s">
        <v>97</v>
      </c>
      <c r="D14" s="25" t="s">
        <v>98</v>
      </c>
      <c r="E14" s="25" t="s">
        <v>99</v>
      </c>
      <c r="F14" s="25" t="s">
        <v>92</v>
      </c>
      <c r="G14" s="25" t="s">
        <v>67</v>
      </c>
      <c r="H14" s="25" t="s">
        <v>69</v>
      </c>
      <c r="I14" s="24" t="n">
        <f aca="false">Carga_Ingresos!F17</f>
        <v>145000000</v>
      </c>
    </row>
    <row r="15" customFormat="false" ht="15" hidden="false" customHeight="false" outlineLevel="0" collapsed="false">
      <c r="A15" s="25" t="s">
        <v>176</v>
      </c>
      <c r="B15" s="25" t="s">
        <v>96</v>
      </c>
      <c r="C15" s="25" t="s">
        <v>97</v>
      </c>
      <c r="D15" s="25" t="s">
        <v>98</v>
      </c>
      <c r="E15" s="25" t="s">
        <v>99</v>
      </c>
      <c r="F15" s="25" t="s">
        <v>91</v>
      </c>
      <c r="G15" s="25" t="s">
        <v>67</v>
      </c>
      <c r="H15" s="25" t="s">
        <v>69</v>
      </c>
      <c r="I15" s="24" t="n">
        <f aca="false">Carga_Ingresos!G16</f>
        <v>52</v>
      </c>
    </row>
    <row r="16" customFormat="false" ht="15" hidden="false" customHeight="false" outlineLevel="0" collapsed="false">
      <c r="A16" s="25" t="s">
        <v>176</v>
      </c>
      <c r="B16" s="25" t="s">
        <v>96</v>
      </c>
      <c r="C16" s="25" t="s">
        <v>97</v>
      </c>
      <c r="D16" s="25" t="s">
        <v>98</v>
      </c>
      <c r="E16" s="25" t="s">
        <v>99</v>
      </c>
      <c r="F16" s="25" t="s">
        <v>92</v>
      </c>
      <c r="G16" s="25" t="s">
        <v>67</v>
      </c>
      <c r="H16" s="25" t="s">
        <v>69</v>
      </c>
      <c r="I16" s="24" t="n">
        <f aca="false">Carga_Ingresos!G17</f>
        <v>145000000</v>
      </c>
    </row>
    <row r="18" customFormat="false" ht="15" hidden="false" customHeight="false" outlineLevel="0" collapsed="false">
      <c r="A18" s="11" t="s">
        <v>108</v>
      </c>
    </row>
    <row r="19" customFormat="false" ht="15" hidden="false" customHeight="false" outlineLevel="0" collapsed="false">
      <c r="A19" s="20" t="s">
        <v>177</v>
      </c>
    </row>
    <row r="20" customFormat="false" ht="15" hidden="false" customHeight="false" outlineLevel="0" collapsed="false">
      <c r="A20" s="20" t="s">
        <v>178</v>
      </c>
    </row>
    <row r="21" customFormat="false" ht="15" hidden="false" customHeight="false" outlineLevel="0" collapsed="false">
      <c r="A21" s="20" t="s">
        <v>179</v>
      </c>
    </row>
    <row r="22" customFormat="false" ht="15" hidden="false" customHeight="false" outlineLevel="0" collapsed="false">
      <c r="A22" s="20" t="s">
        <v>180</v>
      </c>
    </row>
  </sheetData>
  <dataValidations count="2">
    <dataValidation allowBlank="true" error="Elija un miembro de la lista Sociedades (hoja Listas)." errorStyle="stop" errorTitle="Miembro no válido" operator="between" showDropDown="false" showErrorMessage="true" showInputMessage="false" sqref="B5:B16" type="list">
      <formula1>Listas!$A$5:$A$7</formula1>
      <formula2>0</formula2>
    </dataValidation>
    <dataValidation allowBlank="true" error="Elija un miembro de la lista Ratio (hoja Listas)." errorStyle="stop" errorTitle="Miembro no válido" operator="between" showDropDown="false" showErrorMessage="true" showInputMessage="false" sqref="F5:F16" type="list">
      <formula1>Listas!$D$5:$D$7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EB8"/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"/>
    <col collapsed="false" customWidth="true" hidden="false" outlineLevel="0" max="15" min="4" style="0" width="12"/>
    <col collapsed="false" customWidth="true" hidden="false" outlineLevel="0" max="16" min="16" style="0" width="14"/>
  </cols>
  <sheetData>
    <row r="1" customFormat="false" ht="25.5" hidden="false" customHeight="true" outlineLevel="0" collapsed="false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182</v>
      </c>
    </row>
    <row r="4" customFormat="false" ht="30" hidden="false" customHeight="true" outlineLevel="0" collapsed="false">
      <c r="A4" s="14" t="s">
        <v>183</v>
      </c>
      <c r="B4" s="14" t="s">
        <v>184</v>
      </c>
      <c r="C4" s="14"/>
      <c r="D4" s="14" t="s">
        <v>75</v>
      </c>
      <c r="E4" s="14" t="s">
        <v>76</v>
      </c>
      <c r="F4" s="14" t="s">
        <v>77</v>
      </c>
      <c r="G4" s="14" t="s">
        <v>78</v>
      </c>
      <c r="H4" s="14" t="s">
        <v>79</v>
      </c>
      <c r="I4" s="14" t="s">
        <v>80</v>
      </c>
      <c r="J4" s="14" t="s">
        <v>81</v>
      </c>
      <c r="K4" s="14" t="s">
        <v>82</v>
      </c>
      <c r="L4" s="14" t="s">
        <v>83</v>
      </c>
      <c r="M4" s="14" t="s">
        <v>84</v>
      </c>
      <c r="N4" s="14" t="s">
        <v>85</v>
      </c>
      <c r="O4" s="14" t="s">
        <v>86</v>
      </c>
      <c r="P4" s="14" t="s">
        <v>87</v>
      </c>
    </row>
    <row r="5" customFormat="false" ht="15" hidden="false" customHeight="false" outlineLevel="0" collapsed="false">
      <c r="A5" s="26"/>
      <c r="B5" s="27" t="s">
        <v>185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20" t="s">
        <v>24</v>
      </c>
      <c r="B6" s="8" t="s">
        <v>186</v>
      </c>
      <c r="D6" s="29" t="n">
        <f aca="false">SUMIFS(Carga_Ingresos!F$10:F$27,Carga_Ingresos!$A$10:$A$27,"FN_MOTOS",Carga_Ingresos!$E$10:$E$27,"ING_VENTAS_NAL")/Supuestos!$B$5</f>
        <v>26920.6</v>
      </c>
      <c r="E6" s="29" t="n">
        <f aca="false">SUMIFS(Carga_Ingresos!G$10:G$27,Carga_Ingresos!$A$10:$A$27,"FN_MOTOS",Carga_Ingresos!$E$10:$E$27,"ING_VENTAS_NAL")/Supuestos!$B$5</f>
        <v>28233.8</v>
      </c>
      <c r="F6" s="29" t="n">
        <f aca="false">SUMIFS(Carga_Ingresos!H$10:H$27,Carga_Ingresos!$A$10:$A$27,"FN_MOTOS",Carga_Ingresos!$E$10:$E$27,"ING_VENTAS_NAL")/Supuestos!$B$5</f>
        <v>31845.1</v>
      </c>
      <c r="G6" s="29" t="n">
        <f aca="false">SUMIFS(Carga_Ingresos!I$10:I$27,Carga_Ingresos!$A$10:$A$27,"FN_MOTOS",Carga_Ingresos!$E$10:$E$27,"ING_VENTAS_NAL")/Supuestos!$B$5</f>
        <v>31188.5</v>
      </c>
      <c r="H6" s="29" t="n">
        <f aca="false">SUMIFS(Carga_Ingresos!J$10:J$27,Carga_Ingresos!$A$10:$A$27,"FN_MOTOS",Carga_Ingresos!$E$10:$E$27,"ING_VENTAS_NAL")/Supuestos!$B$5</f>
        <v>32830</v>
      </c>
      <c r="I6" s="29" t="n">
        <f aca="false">SUMIFS(Carga_Ingresos!K$10:K$27,Carga_Ingresos!$A$10:$A$27,"FN_MOTOS",Carga_Ingresos!$E$10:$E$27,"ING_VENTAS_NAL")/Supuestos!$B$5</f>
        <v>33814.9</v>
      </c>
      <c r="J6" s="29" t="n">
        <f aca="false">SUMIFS(Carga_Ingresos!L$10:L$27,Carga_Ingresos!$A$10:$A$27,"FN_MOTOS",Carga_Ingresos!$E$10:$E$27,"ING_VENTAS_NAL")/Supuestos!$B$5</f>
        <v>33461.12</v>
      </c>
      <c r="K6" s="29" t="n">
        <f aca="false">SUMIFS(Carga_Ingresos!M$10:M$27,Carga_Ingresos!$A$10:$A$27,"FN_MOTOS",Carga_Ingresos!$E$10:$E$27,"ING_VENTAS_NAL")/Supuestos!$B$5</f>
        <v>34826.88</v>
      </c>
      <c r="L6" s="29" t="n">
        <f aca="false">SUMIFS(Carga_Ingresos!N$10:N$27,Carga_Ingresos!$A$10:$A$27,"FN_MOTOS",Carga_Ingresos!$E$10:$E$27,"ING_VENTAS_NAL")/Supuestos!$B$5</f>
        <v>35851.2</v>
      </c>
      <c r="M6" s="29" t="n">
        <f aca="false">SUMIFS(Carga_Ingresos!O$10:O$27,Carga_Ingresos!$A$10:$A$27,"FN_MOTOS",Carga_Ingresos!$E$10:$E$27,"ING_VENTAS_NAL")/Supuestos!$B$5</f>
        <v>36875.52</v>
      </c>
      <c r="N6" s="29" t="n">
        <f aca="false">SUMIFS(Carga_Ingresos!P$10:P$27,Carga_Ingresos!$A$10:$A$27,"FN_MOTOS",Carga_Ingresos!$E$10:$E$27,"ING_VENTAS_NAL")/Supuestos!$B$5</f>
        <v>36192.64</v>
      </c>
      <c r="O6" s="29" t="n">
        <f aca="false">SUMIFS(Carga_Ingresos!Q$10:Q$27,Carga_Ingresos!$A$10:$A$27,"FN_MOTOS",Carga_Ingresos!$E$10:$E$27,"ING_VENTAS_NAL")/Supuestos!$B$5</f>
        <v>40289.92</v>
      </c>
      <c r="P6" s="30" t="n">
        <f aca="false">SUM(D6:O6)</f>
        <v>402330.18</v>
      </c>
    </row>
    <row r="7" customFormat="false" ht="15" hidden="false" customHeight="false" outlineLevel="0" collapsed="false">
      <c r="A7" s="20" t="s">
        <v>96</v>
      </c>
      <c r="B7" s="8" t="s">
        <v>187</v>
      </c>
      <c r="D7" s="29" t="n">
        <f aca="false">SUMIFS(Carga_Ingresos!F$10:F$27,Carga_Ingresos!$A$10:$A$27,"FN_AUTOS",Carga_Ingresos!$E$10:$E$27,"ING_VENTAS_NAL")/Supuestos!$B$5</f>
        <v>16015</v>
      </c>
      <c r="E7" s="29" t="n">
        <f aca="false">SUMIFS(Carga_Ingresos!G$10:G$27,Carga_Ingresos!$A$10:$A$27,"FN_AUTOS",Carga_Ingresos!$E$10:$E$27,"ING_VENTAS_NAL")/Supuestos!$B$5</f>
        <v>16855</v>
      </c>
      <c r="F7" s="29" t="n">
        <f aca="false">SUMIFS(Carga_Ingresos!H$10:H$27,Carga_Ingresos!$A$10:$A$27,"FN_AUTOS",Carga_Ingresos!$E$10:$E$27,"ING_VENTAS_NAL")/Supuestos!$B$5</f>
        <v>18940</v>
      </c>
      <c r="G7" s="29" t="n">
        <f aca="false">SUMIFS(Carga_Ingresos!I$10:I$27,Carga_Ingresos!$A$10:$A$27,"FN_AUTOS",Carga_Ingresos!$E$10:$E$27,"ING_VENTAS_NAL")/Supuestos!$B$5</f>
        <v>18525</v>
      </c>
      <c r="H7" s="29" t="n">
        <f aca="false">SUMIFS(Carga_Ingresos!J$10:J$27,Carga_Ingresos!$A$10:$A$27,"FN_AUTOS",Carga_Ingresos!$E$10:$E$27,"ING_VENTAS_NAL")/Supuestos!$B$5</f>
        <v>19500</v>
      </c>
      <c r="I7" s="29" t="n">
        <f aca="false">SUMIFS(Carga_Ingresos!K$10:K$27,Carga_Ingresos!$A$10:$A$27,"FN_AUTOS",Carga_Ingresos!$E$10:$E$27,"ING_VENTAS_NAL")/Supuestos!$B$5</f>
        <v>20060</v>
      </c>
      <c r="J7" s="29" t="n">
        <f aca="false">SUMIFS(Carga_Ingresos!L$10:L$27,Carga_Ingresos!$A$10:$A$27,"FN_AUTOS",Carga_Ingresos!$E$10:$E$27,"ING_VENTAS_NAL")/Supuestos!$B$5</f>
        <v>19848.4</v>
      </c>
      <c r="K7" s="29" t="n">
        <f aca="false">SUMIFS(Carga_Ingresos!M$10:M$27,Carga_Ingresos!$A$10:$A$27,"FN_AUTOS",Carga_Ingresos!$E$10:$E$27,"ING_VENTAS_NAL")/Supuestos!$B$5</f>
        <v>20711.6</v>
      </c>
      <c r="L7" s="29" t="n">
        <f aca="false">SUMIFS(Carga_Ingresos!N$10:N$27,Carga_Ingresos!$A$10:$A$27,"FN_AUTOS",Carga_Ingresos!$E$10:$E$27,"ING_VENTAS_NAL")/Supuestos!$B$5</f>
        <v>21294</v>
      </c>
      <c r="M7" s="29" t="n">
        <f aca="false">SUMIFS(Carga_Ingresos!O$10:O$27,Carga_Ingresos!$A$10:$A$27,"FN_AUTOS",Carga_Ingresos!$E$10:$E$27,"ING_VENTAS_NAL")/Supuestos!$B$5</f>
        <v>21876.4</v>
      </c>
      <c r="N7" s="29" t="n">
        <f aca="false">SUMIFS(Carga_Ingresos!P$10:P$27,Carga_Ingresos!$A$10:$A$27,"FN_AUTOS",Carga_Ingresos!$E$10:$E$27,"ING_VENTAS_NAL")/Supuestos!$B$5</f>
        <v>21585.2</v>
      </c>
      <c r="O7" s="29" t="n">
        <f aca="false">SUMIFS(Carga_Ingresos!Q$10:Q$27,Carga_Ingresos!$A$10:$A$27,"FN_AUTOS",Carga_Ingresos!$E$10:$E$27,"ING_VENTAS_NAL")/Supuestos!$B$5</f>
        <v>23904.4</v>
      </c>
      <c r="P7" s="30" t="n">
        <f aca="false">SUM(D7:O7)</f>
        <v>239115</v>
      </c>
    </row>
    <row r="8" customFormat="false" ht="15" hidden="false" customHeight="false" outlineLevel="0" collapsed="false">
      <c r="A8" s="20" t="s">
        <v>102</v>
      </c>
      <c r="B8" s="8" t="s">
        <v>188</v>
      </c>
      <c r="D8" s="29" t="n">
        <f aca="false">SUMIFS(Carga_Ingresos!F$10:F$27,Carga_Ingresos!$A$10:$A$27,"FN_TUBOS",Carga_Ingresos!$E$10:$E$27,"ING_VENTAS_NAL")/Supuestos!$B$5</f>
        <v>11070</v>
      </c>
      <c r="E8" s="29" t="n">
        <f aca="false">SUMIFS(Carga_Ingresos!G$10:G$27,Carga_Ingresos!$A$10:$A$27,"FN_TUBOS",Carga_Ingresos!$E$10:$E$27,"ING_VENTAS_NAL")/Supuestos!$B$5</f>
        <v>11610</v>
      </c>
      <c r="F8" s="29" t="n">
        <f aca="false">SUMIFS(Carga_Ingresos!H$10:H$27,Carga_Ingresos!$A$10:$A$27,"FN_TUBOS",Carga_Ingresos!$E$10:$E$27,"ING_VENTAS_NAL")/Supuestos!$B$5</f>
        <v>13095</v>
      </c>
      <c r="G8" s="29" t="n">
        <f aca="false">SUMIFS(Carga_Ingresos!I$10:I$27,Carga_Ingresos!$A$10:$A$27,"FN_TUBOS",Carga_Ingresos!$E$10:$E$27,"ING_VENTAS_NAL")/Supuestos!$B$5</f>
        <v>12825</v>
      </c>
      <c r="H8" s="29" t="n">
        <f aca="false">SUMIFS(Carga_Ingresos!J$10:J$27,Carga_Ingresos!$A$10:$A$27,"FN_TUBOS",Carga_Ingresos!$E$10:$E$27,"ING_VENTAS_NAL")/Supuestos!$B$5</f>
        <v>13500</v>
      </c>
      <c r="I8" s="29" t="n">
        <f aca="false">SUMIFS(Carga_Ingresos!K$10:K$27,Carga_Ingresos!$A$10:$A$27,"FN_TUBOS",Carga_Ingresos!$E$10:$E$27,"ING_VENTAS_NAL")/Supuestos!$B$5</f>
        <v>13905</v>
      </c>
      <c r="J8" s="29" t="n">
        <f aca="false">SUMIFS(Carga_Ingresos!L$10:L$27,Carga_Ingresos!$A$10:$A$27,"FN_TUBOS",Carga_Ingresos!$E$10:$E$27,"ING_VENTAS_NAL")/Supuestos!$B$5</f>
        <v>13759.2</v>
      </c>
      <c r="K8" s="29" t="n">
        <f aca="false">SUMIFS(Carga_Ingresos!M$10:M$27,Carga_Ingresos!$A$10:$A$27,"FN_TUBOS",Carga_Ingresos!$E$10:$E$27,"ING_VENTAS_NAL")/Supuestos!$B$5</f>
        <v>14320.8</v>
      </c>
      <c r="L8" s="29" t="n">
        <f aca="false">SUMIFS(Carga_Ingresos!N$10:N$27,Carga_Ingresos!$A$10:$A$27,"FN_TUBOS",Carga_Ingresos!$E$10:$E$27,"ING_VENTAS_NAL")/Supuestos!$B$5</f>
        <v>14742</v>
      </c>
      <c r="M8" s="29" t="n">
        <f aca="false">SUMIFS(Carga_Ingresos!O$10:O$27,Carga_Ingresos!$A$10:$A$27,"FN_TUBOS",Carga_Ingresos!$E$10:$E$27,"ING_VENTAS_NAL")/Supuestos!$B$5</f>
        <v>15163.2</v>
      </c>
      <c r="N8" s="29" t="n">
        <f aca="false">SUMIFS(Carga_Ingresos!P$10:P$27,Carga_Ingresos!$A$10:$A$27,"FN_TUBOS",Carga_Ingresos!$E$10:$E$27,"ING_VENTAS_NAL")/Supuestos!$B$5</f>
        <v>14882.4</v>
      </c>
      <c r="O8" s="29" t="n">
        <f aca="false">SUMIFS(Carga_Ingresos!Q$10:Q$27,Carga_Ingresos!$A$10:$A$27,"FN_TUBOS",Carga_Ingresos!$E$10:$E$27,"ING_VENTAS_NAL")/Supuestos!$B$5</f>
        <v>16567.2</v>
      </c>
      <c r="P8" s="30" t="n">
        <f aca="false">SUM(D8:O8)</f>
        <v>165439.8</v>
      </c>
    </row>
    <row r="9" customFormat="false" ht="15" hidden="false" customHeight="false" outlineLevel="0" collapsed="false">
      <c r="A9" s="20" t="s">
        <v>189</v>
      </c>
      <c r="B9" s="31" t="s">
        <v>190</v>
      </c>
      <c r="C9" s="32"/>
      <c r="D9" s="33" t="n">
        <f aca="false">SUM(D6:D8)</f>
        <v>54005.6</v>
      </c>
      <c r="E9" s="33" t="n">
        <f aca="false">SUM(E6:E8)</f>
        <v>56698.8</v>
      </c>
      <c r="F9" s="33" t="n">
        <f aca="false">SUM(F6:F8)</f>
        <v>63880.1</v>
      </c>
      <c r="G9" s="33" t="n">
        <f aca="false">SUM(G6:G8)</f>
        <v>62538.5</v>
      </c>
      <c r="H9" s="33" t="n">
        <f aca="false">SUM(H6:H8)</f>
        <v>65830</v>
      </c>
      <c r="I9" s="33" t="n">
        <f aca="false">SUM(I6:I8)</f>
        <v>67779.9</v>
      </c>
      <c r="J9" s="33" t="n">
        <f aca="false">SUM(J6:J8)</f>
        <v>67068.72</v>
      </c>
      <c r="K9" s="33" t="n">
        <f aca="false">SUM(K6:K8)</f>
        <v>69859.28</v>
      </c>
      <c r="L9" s="33" t="n">
        <f aca="false">SUM(L6:L8)</f>
        <v>71887.2</v>
      </c>
      <c r="M9" s="33" t="n">
        <f aca="false">SUM(M6:M8)</f>
        <v>73915.12</v>
      </c>
      <c r="N9" s="33" t="n">
        <f aca="false">SUM(N6:N8)</f>
        <v>72660.24</v>
      </c>
      <c r="O9" s="33" t="n">
        <f aca="false">SUM(O6:O8)</f>
        <v>80761.52</v>
      </c>
      <c r="P9" s="33" t="n">
        <f aca="false">SUM(D9:O9)</f>
        <v>806884.98</v>
      </c>
    </row>
    <row r="10" customFormat="false" ht="15" hidden="false" customHeight="false" outlineLevel="0" collapsed="false">
      <c r="A10" s="20" t="s">
        <v>191</v>
      </c>
      <c r="B10" s="8" t="s">
        <v>192</v>
      </c>
      <c r="D10" s="34" t="n">
        <f aca="false">-D9*Supuestos!$B$6</f>
        <v>-36723.808</v>
      </c>
      <c r="E10" s="34" t="n">
        <f aca="false">-E9*Supuestos!$B$6</f>
        <v>-38555.184</v>
      </c>
      <c r="F10" s="34" t="n">
        <f aca="false">-F9*Supuestos!$B$6</f>
        <v>-43438.468</v>
      </c>
      <c r="G10" s="34" t="n">
        <f aca="false">-G9*Supuestos!$B$6</f>
        <v>-42526.18</v>
      </c>
      <c r="H10" s="34" t="n">
        <f aca="false">-H9*Supuestos!$B$6</f>
        <v>-44764.4</v>
      </c>
      <c r="I10" s="34" t="n">
        <f aca="false">-I9*Supuestos!$B$6</f>
        <v>-46090.332</v>
      </c>
      <c r="J10" s="34" t="n">
        <f aca="false">-J9*Supuestos!$B$6</f>
        <v>-45606.7296</v>
      </c>
      <c r="K10" s="34" t="n">
        <f aca="false">-K9*Supuestos!$B$6</f>
        <v>-47504.3104</v>
      </c>
      <c r="L10" s="34" t="n">
        <f aca="false">-L9*Supuestos!$B$6</f>
        <v>-48883.296</v>
      </c>
      <c r="M10" s="34" t="n">
        <f aca="false">-M9*Supuestos!$B$6</f>
        <v>-50262.2816</v>
      </c>
      <c r="N10" s="34" t="n">
        <f aca="false">-N9*Supuestos!$B$6</f>
        <v>-49408.9632</v>
      </c>
      <c r="O10" s="34" t="n">
        <f aca="false">-O9*Supuestos!$B$6</f>
        <v>-54917.8336</v>
      </c>
      <c r="P10" s="30" t="n">
        <f aca="false">SUM(D10:O10)</f>
        <v>-548681.7864</v>
      </c>
    </row>
    <row r="11" customFormat="false" ht="15" hidden="false" customHeight="false" outlineLevel="0" collapsed="false">
      <c r="A11" s="20"/>
      <c r="B11" s="31" t="s">
        <v>193</v>
      </c>
      <c r="C11" s="32"/>
      <c r="D11" s="33" t="n">
        <f aca="false">D9+D10</f>
        <v>17281.792</v>
      </c>
      <c r="E11" s="33" t="n">
        <f aca="false">E9+E10</f>
        <v>18143.616</v>
      </c>
      <c r="F11" s="33" t="n">
        <f aca="false">F9+F10</f>
        <v>20441.632</v>
      </c>
      <c r="G11" s="33" t="n">
        <f aca="false">G9+G10</f>
        <v>20012.32</v>
      </c>
      <c r="H11" s="33" t="n">
        <f aca="false">H9+H10</f>
        <v>21065.6</v>
      </c>
      <c r="I11" s="33" t="n">
        <f aca="false">I9+I10</f>
        <v>21689.568</v>
      </c>
      <c r="J11" s="33" t="n">
        <f aca="false">J9+J10</f>
        <v>21461.9904</v>
      </c>
      <c r="K11" s="33" t="n">
        <f aca="false">K9+K10</f>
        <v>22354.9696</v>
      </c>
      <c r="L11" s="33" t="n">
        <f aca="false">L9+L10</f>
        <v>23003.904</v>
      </c>
      <c r="M11" s="33" t="n">
        <f aca="false">M9+M10</f>
        <v>23652.8384</v>
      </c>
      <c r="N11" s="33" t="n">
        <f aca="false">N9+N10</f>
        <v>23251.2768</v>
      </c>
      <c r="O11" s="33" t="n">
        <f aca="false">O9+O10</f>
        <v>25843.6864</v>
      </c>
      <c r="P11" s="33" t="n">
        <f aca="false">SUM(D11:O11)</f>
        <v>258203.1936</v>
      </c>
    </row>
    <row r="12" customFormat="false" ht="15" hidden="false" customHeight="false" outlineLevel="0" collapsed="false">
      <c r="A12" s="20"/>
      <c r="B12" s="8" t="s">
        <v>194</v>
      </c>
      <c r="D12" s="35" t="n">
        <f aca="false">IFERROR(D11/D9,0)</f>
        <v>0.32</v>
      </c>
      <c r="E12" s="35" t="n">
        <f aca="false">IFERROR(E11/E9,0)</f>
        <v>0.32</v>
      </c>
      <c r="F12" s="35" t="n">
        <f aca="false">IFERROR(F11/F9,0)</f>
        <v>0.32</v>
      </c>
      <c r="G12" s="35" t="n">
        <f aca="false">IFERROR(G11/G9,0)</f>
        <v>0.32</v>
      </c>
      <c r="H12" s="35" t="n">
        <f aca="false">IFERROR(H11/H9,0)</f>
        <v>0.32</v>
      </c>
      <c r="I12" s="35" t="n">
        <f aca="false">IFERROR(I11/I9,0)</f>
        <v>0.32</v>
      </c>
      <c r="J12" s="35" t="n">
        <f aca="false">IFERROR(J11/J9,0)</f>
        <v>0.32</v>
      </c>
      <c r="K12" s="35" t="n">
        <f aca="false">IFERROR(K11/K9,0)</f>
        <v>0.32</v>
      </c>
      <c r="L12" s="35" t="n">
        <f aca="false">IFERROR(L11/L9,0)</f>
        <v>0.32</v>
      </c>
      <c r="M12" s="35" t="n">
        <f aca="false">IFERROR(M11/M9,0)</f>
        <v>0.32</v>
      </c>
      <c r="N12" s="35" t="n">
        <f aca="false">IFERROR(N11/N9,0)</f>
        <v>0.32</v>
      </c>
      <c r="O12" s="35" t="n">
        <f aca="false">IFERROR(O11/O9,0)</f>
        <v>0.32</v>
      </c>
      <c r="P12" s="36" t="n">
        <f aca="false">IFERROR(P11/P9,0)</f>
        <v>0.32</v>
      </c>
    </row>
    <row r="14" customFormat="false" ht="15" hidden="false" customHeight="false" outlineLevel="0" collapsed="false">
      <c r="A14" s="26"/>
      <c r="B14" s="27" t="s">
        <v>195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20" t="s">
        <v>196</v>
      </c>
      <c r="B15" s="8" t="s">
        <v>197</v>
      </c>
      <c r="D15" s="29" t="n">
        <f aca="false">-SUMIFS(Carga_Gastos!E$10:E$23,Carga_Gastos!$R$10:$R$23,"Gastos de administración")/Supuestos!$B$5</f>
        <v>-6250</v>
      </c>
      <c r="E15" s="29" t="n">
        <f aca="false">-SUMIFS(Carga_Gastos!F$10:F$23,Carga_Gastos!$R$10:$R$23,"Gastos de administración")/Supuestos!$B$5</f>
        <v>-6280</v>
      </c>
      <c r="F15" s="29" t="n">
        <f aca="false">-SUMIFS(Carga_Gastos!G$10:G$23,Carga_Gastos!$R$10:$R$23,"Gastos de administración")/Supuestos!$B$5</f>
        <v>-6310</v>
      </c>
      <c r="G15" s="29" t="n">
        <f aca="false">-SUMIFS(Carga_Gastos!H$10:H$23,Carga_Gastos!$R$10:$R$23,"Gastos de administración")/Supuestos!$B$5</f>
        <v>-6250</v>
      </c>
      <c r="H15" s="29" t="n">
        <f aca="false">-SUMIFS(Carga_Gastos!I$10:I$23,Carga_Gastos!$R$10:$R$23,"Gastos de administración")/Supuestos!$B$5</f>
        <v>-6280</v>
      </c>
      <c r="I15" s="29" t="n">
        <f aca="false">-SUMIFS(Carga_Gastos!J$10:J$23,Carga_Gastos!$R$10:$R$23,"Gastos de administración")/Supuestos!$B$5</f>
        <v>-6310</v>
      </c>
      <c r="J15" s="29" t="n">
        <f aca="false">-SUMIFS(Carga_Gastos!K$10:K$23,Carga_Gastos!$R$10:$R$23,"Gastos de administración")/Supuestos!$B$5</f>
        <v>-6492.5</v>
      </c>
      <c r="K15" s="29" t="n">
        <f aca="false">-SUMIFS(Carga_Gastos!L$10:L$23,Carga_Gastos!$R$10:$R$23,"Gastos de administración")/Supuestos!$B$5</f>
        <v>-6522.5</v>
      </c>
      <c r="L15" s="29" t="n">
        <f aca="false">-SUMIFS(Carga_Gastos!M$10:M$23,Carga_Gastos!$R$10:$R$23,"Gastos de administración")/Supuestos!$B$5</f>
        <v>-6552.5</v>
      </c>
      <c r="M15" s="29" t="n">
        <f aca="false">-SUMIFS(Carga_Gastos!N$10:N$23,Carga_Gastos!$R$10:$R$23,"Gastos de administración")/Supuestos!$B$5</f>
        <v>-6492.5</v>
      </c>
      <c r="N15" s="29" t="n">
        <f aca="false">-SUMIFS(Carga_Gastos!O$10:O$23,Carga_Gastos!$R$10:$R$23,"Gastos de administración")/Supuestos!$B$5</f>
        <v>-6522.5</v>
      </c>
      <c r="O15" s="29" t="n">
        <f aca="false">-SUMIFS(Carga_Gastos!P$10:P$23,Carga_Gastos!$R$10:$R$23,"Gastos de administración")/Supuestos!$B$5</f>
        <v>-8977.5</v>
      </c>
      <c r="P15" s="30" t="n">
        <f aca="false">SUM(D15:O15)</f>
        <v>-79240</v>
      </c>
    </row>
    <row r="16" customFormat="false" ht="15" hidden="false" customHeight="false" outlineLevel="0" collapsed="false">
      <c r="A16" s="20" t="s">
        <v>198</v>
      </c>
      <c r="B16" s="8" t="s">
        <v>199</v>
      </c>
      <c r="D16" s="29" t="n">
        <f aca="false">-SUMIFS(Carga_Gastos!E$10:E$23,Carga_Gastos!$R$10:$R$23,"Gastos de ventas")/Supuestos!$B$5</f>
        <v>-3493.9</v>
      </c>
      <c r="E16" s="29" t="n">
        <f aca="false">-SUMIFS(Carga_Gastos!F$10:F$23,Carga_Gastos!$R$10:$R$23,"Gastos de ventas")/Supuestos!$B$5</f>
        <v>-3620</v>
      </c>
      <c r="F16" s="29" t="n">
        <f aca="false">-SUMIFS(Carga_Gastos!G$10:G$23,Carga_Gastos!$R$10:$R$23,"Gastos de ventas")/Supuestos!$B$5</f>
        <v>-3746.1</v>
      </c>
      <c r="G16" s="29" t="n">
        <f aca="false">-SUMIFS(Carga_Gastos!H$10:H$23,Carga_Gastos!$R$10:$R$23,"Gastos de ventas")/Supuestos!$B$5</f>
        <v>-3493.9</v>
      </c>
      <c r="H16" s="29" t="n">
        <f aca="false">-SUMIFS(Carga_Gastos!I$10:I$23,Carga_Gastos!$R$10:$R$23,"Gastos de ventas")/Supuestos!$B$5</f>
        <v>-3620</v>
      </c>
      <c r="I16" s="29" t="n">
        <f aca="false">-SUMIFS(Carga_Gastos!J$10:J$23,Carga_Gastos!$R$10:$R$23,"Gastos de ventas")/Supuestos!$B$5</f>
        <v>-3746.1</v>
      </c>
      <c r="J16" s="29" t="n">
        <f aca="false">-SUMIFS(Carga_Gastos!K$10:K$23,Carga_Gastos!$R$10:$R$23,"Gastos de ventas")/Supuestos!$B$5</f>
        <v>-3572.4</v>
      </c>
      <c r="K16" s="29" t="n">
        <f aca="false">-SUMIFS(Carga_Gastos!L$10:L$23,Carga_Gastos!$R$10:$R$23,"Gastos de ventas")/Supuestos!$B$5</f>
        <v>-3698.5</v>
      </c>
      <c r="L16" s="29" t="n">
        <f aca="false">-SUMIFS(Carga_Gastos!M$10:M$23,Carga_Gastos!$R$10:$R$23,"Gastos de ventas")/Supuestos!$B$5</f>
        <v>-3824.6</v>
      </c>
      <c r="M16" s="29" t="n">
        <f aca="false">-SUMIFS(Carga_Gastos!N$10:N$23,Carga_Gastos!$R$10:$R$23,"Gastos de ventas")/Supuestos!$B$5</f>
        <v>-3572.4</v>
      </c>
      <c r="N16" s="29" t="n">
        <f aca="false">-SUMIFS(Carga_Gastos!O$10:O$23,Carga_Gastos!$R$10:$R$23,"Gastos de ventas")/Supuestos!$B$5</f>
        <v>-3698.5</v>
      </c>
      <c r="O16" s="29" t="n">
        <f aca="false">-SUMIFS(Carga_Gastos!P$10:P$23,Carga_Gastos!$R$10:$R$23,"Gastos de ventas")/Supuestos!$B$5</f>
        <v>-3824.6</v>
      </c>
      <c r="P16" s="30" t="n">
        <f aca="false">SUM(D16:O16)</f>
        <v>-43911</v>
      </c>
    </row>
    <row r="17" customFormat="false" ht="15" hidden="false" customHeight="false" outlineLevel="0" collapsed="false">
      <c r="A17" s="20"/>
      <c r="B17" s="31" t="s">
        <v>200</v>
      </c>
      <c r="C17" s="32"/>
      <c r="D17" s="33" t="n">
        <f aca="false">D11+D15+D16</f>
        <v>7537.89199999999</v>
      </c>
      <c r="E17" s="33" t="n">
        <f aca="false">E11+E15+E16</f>
        <v>8243.616</v>
      </c>
      <c r="F17" s="33" t="n">
        <f aca="false">F11+F15+F16</f>
        <v>10385.532</v>
      </c>
      <c r="G17" s="33" t="n">
        <f aca="false">G11+G15+G16</f>
        <v>10268.42</v>
      </c>
      <c r="H17" s="33" t="n">
        <f aca="false">H11+H15+H16</f>
        <v>11165.6</v>
      </c>
      <c r="I17" s="33" t="n">
        <f aca="false">I11+I15+I16</f>
        <v>11633.468</v>
      </c>
      <c r="J17" s="33" t="n">
        <f aca="false">J11+J15+J16</f>
        <v>11397.0904</v>
      </c>
      <c r="K17" s="33" t="n">
        <f aca="false">K11+K15+K16</f>
        <v>12133.9696</v>
      </c>
      <c r="L17" s="33" t="n">
        <f aca="false">L11+L15+L16</f>
        <v>12626.804</v>
      </c>
      <c r="M17" s="33" t="n">
        <f aca="false">M11+M15+M16</f>
        <v>13587.9384</v>
      </c>
      <c r="N17" s="33" t="n">
        <f aca="false">N11+N15+N16</f>
        <v>13030.2768</v>
      </c>
      <c r="O17" s="33" t="n">
        <f aca="false">O11+O15+O16</f>
        <v>13041.5864</v>
      </c>
      <c r="P17" s="33" t="n">
        <f aca="false">SUM(D17:O17)</f>
        <v>135052.1936</v>
      </c>
    </row>
    <row r="18" customFormat="false" ht="15" hidden="false" customHeight="false" outlineLevel="0" collapsed="false">
      <c r="A18" s="20"/>
      <c r="B18" s="8" t="s">
        <v>201</v>
      </c>
      <c r="D18" s="35" t="n">
        <f aca="false">IFERROR(D17/D9,0)</f>
        <v>0.139576118032204</v>
      </c>
      <c r="E18" s="35" t="n">
        <f aca="false">IFERROR(E17/E9,0)</f>
        <v>0.145393130013334</v>
      </c>
      <c r="F18" s="35" t="n">
        <f aca="false">IFERROR(F17/F9,0)</f>
        <v>0.162578518192677</v>
      </c>
      <c r="G18" s="35" t="n">
        <f aca="false">IFERROR(G17/G9,0)</f>
        <v>0.164193576756718</v>
      </c>
      <c r="H18" s="35" t="n">
        <f aca="false">IFERROR(H17/H9,0)</f>
        <v>0.169612638614613</v>
      </c>
      <c r="I18" s="35" t="n">
        <f aca="false">IFERROR(I17/I9,0)</f>
        <v>0.171635956972495</v>
      </c>
      <c r="J18" s="35" t="n">
        <f aca="false">IFERROR(J17/J9,0)</f>
        <v>0.169931532911318</v>
      </c>
      <c r="K18" s="35" t="n">
        <f aca="false">IFERROR(K17/K9,0)</f>
        <v>0.173691592584407</v>
      </c>
      <c r="L18" s="35" t="n">
        <f aca="false">IFERROR(L17/L9,0)</f>
        <v>0.175647458796559</v>
      </c>
      <c r="M18" s="35" t="n">
        <f aca="false">IFERROR(M17/M9,0)</f>
        <v>0.183831649059083</v>
      </c>
      <c r="N18" s="35" t="n">
        <f aca="false">IFERROR(N17/N9,0)</f>
        <v>0.17933159593197</v>
      </c>
      <c r="O18" s="35" t="n">
        <f aca="false">IFERROR(O17/O9,0)</f>
        <v>0.161482676403317</v>
      </c>
      <c r="P18" s="36" t="n">
        <f aca="false">IFERROR(P17/P9,0)</f>
        <v>0.167374777009729</v>
      </c>
    </row>
    <row r="19" customFormat="false" ht="15" hidden="false" customHeight="false" outlineLevel="0" collapsed="false">
      <c r="A19" s="20" t="s">
        <v>202</v>
      </c>
      <c r="B19" s="8" t="s">
        <v>203</v>
      </c>
      <c r="D19" s="34" t="n">
        <f aca="false">-Balance!D9/(Supuestos!$B$12*12)</f>
        <v>-3525</v>
      </c>
      <c r="E19" s="34" t="n">
        <f aca="false">-Balance!E9/(Supuestos!$B$12*12)</f>
        <v>-3550</v>
      </c>
      <c r="F19" s="34" t="n">
        <f aca="false">-Balance!F9/(Supuestos!$B$12*12)</f>
        <v>-3575</v>
      </c>
      <c r="G19" s="34" t="n">
        <f aca="false">-Balance!G9/(Supuestos!$B$12*12)</f>
        <v>-3600</v>
      </c>
      <c r="H19" s="34" t="n">
        <f aca="false">-Balance!H9/(Supuestos!$B$12*12)</f>
        <v>-3625</v>
      </c>
      <c r="I19" s="34" t="n">
        <f aca="false">-Balance!I9/(Supuestos!$B$12*12)</f>
        <v>-3650</v>
      </c>
      <c r="J19" s="34" t="n">
        <f aca="false">-Balance!J9/(Supuestos!$B$12*12)</f>
        <v>-3675</v>
      </c>
      <c r="K19" s="34" t="n">
        <f aca="false">-Balance!K9/(Supuestos!$B$12*12)</f>
        <v>-3700</v>
      </c>
      <c r="L19" s="34" t="n">
        <f aca="false">-Balance!L9/(Supuestos!$B$12*12)</f>
        <v>-3725</v>
      </c>
      <c r="M19" s="34" t="n">
        <f aca="false">-Balance!M9/(Supuestos!$B$12*12)</f>
        <v>-3750</v>
      </c>
      <c r="N19" s="34" t="n">
        <f aca="false">-Balance!N9/(Supuestos!$B$12*12)</f>
        <v>-3775</v>
      </c>
      <c r="O19" s="34" t="n">
        <f aca="false">-Balance!O9/(Supuestos!$B$12*12)</f>
        <v>-3800</v>
      </c>
      <c r="P19" s="30" t="n">
        <f aca="false">SUM(D19:O19)</f>
        <v>-43950</v>
      </c>
    </row>
    <row r="20" customFormat="false" ht="15" hidden="false" customHeight="false" outlineLevel="0" collapsed="false">
      <c r="A20" s="20"/>
      <c r="B20" s="31" t="s">
        <v>204</v>
      </c>
      <c r="C20" s="32"/>
      <c r="D20" s="33" t="n">
        <f aca="false">D17+D19</f>
        <v>4012.89199999999</v>
      </c>
      <c r="E20" s="33" t="n">
        <f aca="false">E17+E19</f>
        <v>4693.61599999999</v>
      </c>
      <c r="F20" s="33" t="n">
        <f aca="false">F17+F19</f>
        <v>6810.532</v>
      </c>
      <c r="G20" s="33" t="n">
        <f aca="false">G17+G19</f>
        <v>6668.42</v>
      </c>
      <c r="H20" s="33" t="n">
        <f aca="false">H17+H19</f>
        <v>7540.6</v>
      </c>
      <c r="I20" s="33" t="n">
        <f aca="false">I17+I19</f>
        <v>7983.46799999999</v>
      </c>
      <c r="J20" s="33" t="n">
        <f aca="false">J17+J19</f>
        <v>7722.0904</v>
      </c>
      <c r="K20" s="33" t="n">
        <f aca="false">K17+K19</f>
        <v>8433.9696</v>
      </c>
      <c r="L20" s="33" t="n">
        <f aca="false">L17+L19</f>
        <v>8901.804</v>
      </c>
      <c r="M20" s="33" t="n">
        <f aca="false">M17+M19</f>
        <v>9837.93839999999</v>
      </c>
      <c r="N20" s="33" t="n">
        <f aca="false">N17+N19</f>
        <v>9255.27679999999</v>
      </c>
      <c r="O20" s="33" t="n">
        <f aca="false">O17+O19</f>
        <v>9241.5864</v>
      </c>
      <c r="P20" s="33" t="n">
        <f aca="false">SUM(D20:O20)</f>
        <v>91102.1936</v>
      </c>
    </row>
    <row r="21" customFormat="false" ht="15" hidden="false" customHeight="false" outlineLevel="0" collapsed="false">
      <c r="A21" s="20" t="s">
        <v>205</v>
      </c>
      <c r="B21" s="8" t="s">
        <v>206</v>
      </c>
      <c r="D21" s="34" t="n">
        <f aca="false">-Balance!C14*Supuestos!$B$13/12</f>
        <v>-1800</v>
      </c>
      <c r="E21" s="34" t="n">
        <f aca="false">-Balance!D14*Supuestos!$B$13/12</f>
        <v>-1790</v>
      </c>
      <c r="F21" s="34" t="n">
        <f aca="false">-Balance!E14*Supuestos!$B$13/12</f>
        <v>-1780</v>
      </c>
      <c r="G21" s="34" t="n">
        <f aca="false">-Balance!F14*Supuestos!$B$13/12</f>
        <v>-1770</v>
      </c>
      <c r="H21" s="34" t="n">
        <f aca="false">-Balance!G14*Supuestos!$B$13/12</f>
        <v>-1760</v>
      </c>
      <c r="I21" s="34" t="n">
        <f aca="false">-Balance!H14*Supuestos!$B$13/12</f>
        <v>-1750</v>
      </c>
      <c r="J21" s="34" t="n">
        <f aca="false">-Balance!I14*Supuestos!$B$13/12</f>
        <v>-1740</v>
      </c>
      <c r="K21" s="34" t="n">
        <f aca="false">-Balance!J14*Supuestos!$B$13/12</f>
        <v>-1730</v>
      </c>
      <c r="L21" s="34" t="n">
        <f aca="false">-Balance!K14*Supuestos!$B$13/12</f>
        <v>-1720</v>
      </c>
      <c r="M21" s="34" t="n">
        <f aca="false">-Balance!L14*Supuestos!$B$13/12</f>
        <v>-1710</v>
      </c>
      <c r="N21" s="34" t="n">
        <f aca="false">-Balance!M14*Supuestos!$B$13/12</f>
        <v>-1700</v>
      </c>
      <c r="O21" s="34" t="n">
        <f aca="false">-Balance!N14*Supuestos!$B$13/12</f>
        <v>-1690</v>
      </c>
      <c r="P21" s="30" t="n">
        <f aca="false">SUM(D21:O21)</f>
        <v>-20940</v>
      </c>
    </row>
    <row r="22" customFormat="false" ht="15" hidden="false" customHeight="false" outlineLevel="0" collapsed="false">
      <c r="A22" s="20"/>
      <c r="B22" s="31" t="s">
        <v>207</v>
      </c>
      <c r="C22" s="32"/>
      <c r="D22" s="33" t="n">
        <f aca="false">D20+D21</f>
        <v>2212.89199999999</v>
      </c>
      <c r="E22" s="33" t="n">
        <f aca="false">E20+E21</f>
        <v>2903.61599999999</v>
      </c>
      <c r="F22" s="33" t="n">
        <f aca="false">F20+F21</f>
        <v>5030.532</v>
      </c>
      <c r="G22" s="33" t="n">
        <f aca="false">G20+G21</f>
        <v>4898.42</v>
      </c>
      <c r="H22" s="33" t="n">
        <f aca="false">H20+H21</f>
        <v>5780.6</v>
      </c>
      <c r="I22" s="33" t="n">
        <f aca="false">I20+I21</f>
        <v>6233.46799999999</v>
      </c>
      <c r="J22" s="33" t="n">
        <f aca="false">J20+J21</f>
        <v>5982.0904</v>
      </c>
      <c r="K22" s="33" t="n">
        <f aca="false">K20+K21</f>
        <v>6703.9696</v>
      </c>
      <c r="L22" s="33" t="n">
        <f aca="false">L20+L21</f>
        <v>7181.804</v>
      </c>
      <c r="M22" s="33" t="n">
        <f aca="false">M20+M21</f>
        <v>8127.93839999999</v>
      </c>
      <c r="N22" s="33" t="n">
        <f aca="false">N20+N21</f>
        <v>7555.27679999999</v>
      </c>
      <c r="O22" s="33" t="n">
        <f aca="false">O20+O21</f>
        <v>7551.5864</v>
      </c>
      <c r="P22" s="33" t="n">
        <f aca="false">SUM(D22:O22)</f>
        <v>70162.1935999999</v>
      </c>
    </row>
    <row r="23" customFormat="false" ht="15" hidden="false" customHeight="false" outlineLevel="0" collapsed="false">
      <c r="A23" s="20" t="s">
        <v>208</v>
      </c>
      <c r="B23" s="8" t="s">
        <v>209</v>
      </c>
      <c r="D23" s="34" t="n">
        <f aca="false">-MAX(0,D22)*Supuestos!$B$7</f>
        <v>-774.512199999998</v>
      </c>
      <c r="E23" s="34" t="n">
        <f aca="false">-MAX(0,E22)*Supuestos!$B$7</f>
        <v>-1016.2656</v>
      </c>
      <c r="F23" s="34" t="n">
        <f aca="false">-MAX(0,F22)*Supuestos!$B$7</f>
        <v>-1760.6862</v>
      </c>
      <c r="G23" s="34" t="n">
        <f aca="false">-MAX(0,G22)*Supuestos!$B$7</f>
        <v>-1714.447</v>
      </c>
      <c r="H23" s="34" t="n">
        <f aca="false">-MAX(0,H22)*Supuestos!$B$7</f>
        <v>-2023.21</v>
      </c>
      <c r="I23" s="34" t="n">
        <f aca="false">-MAX(0,I22)*Supuestos!$B$7</f>
        <v>-2181.7138</v>
      </c>
      <c r="J23" s="34" t="n">
        <f aca="false">-MAX(0,J22)*Supuestos!$B$7</f>
        <v>-2093.73164</v>
      </c>
      <c r="K23" s="34" t="n">
        <f aca="false">-MAX(0,K22)*Supuestos!$B$7</f>
        <v>-2346.38936</v>
      </c>
      <c r="L23" s="34" t="n">
        <f aca="false">-MAX(0,L22)*Supuestos!$B$7</f>
        <v>-2513.6314</v>
      </c>
      <c r="M23" s="34" t="n">
        <f aca="false">-MAX(0,M22)*Supuestos!$B$7</f>
        <v>-2844.77844</v>
      </c>
      <c r="N23" s="34" t="n">
        <f aca="false">-MAX(0,N22)*Supuestos!$B$7</f>
        <v>-2644.34688</v>
      </c>
      <c r="O23" s="34" t="n">
        <f aca="false">-MAX(0,O22)*Supuestos!$B$7</f>
        <v>-2643.05524</v>
      </c>
      <c r="P23" s="30" t="n">
        <f aca="false">SUM(D23:O23)</f>
        <v>-24556.76776</v>
      </c>
    </row>
    <row r="24" customFormat="false" ht="15" hidden="false" customHeight="false" outlineLevel="0" collapsed="false">
      <c r="A24" s="20"/>
      <c r="B24" s="37" t="s">
        <v>210</v>
      </c>
      <c r="C24" s="38"/>
      <c r="D24" s="39" t="n">
        <f aca="false">D22+D23</f>
        <v>1438.3798</v>
      </c>
      <c r="E24" s="39" t="n">
        <f aca="false">E22+E23</f>
        <v>1887.3504</v>
      </c>
      <c r="F24" s="39" t="n">
        <f aca="false">F22+F23</f>
        <v>3269.8458</v>
      </c>
      <c r="G24" s="39" t="n">
        <f aca="false">G22+G23</f>
        <v>3183.973</v>
      </c>
      <c r="H24" s="39" t="n">
        <f aca="false">H22+H23</f>
        <v>3757.39</v>
      </c>
      <c r="I24" s="39" t="n">
        <f aca="false">I22+I23</f>
        <v>4051.7542</v>
      </c>
      <c r="J24" s="39" t="n">
        <f aca="false">J22+J23</f>
        <v>3888.35876</v>
      </c>
      <c r="K24" s="39" t="n">
        <f aca="false">K22+K23</f>
        <v>4357.58024</v>
      </c>
      <c r="L24" s="39" t="n">
        <f aca="false">L22+L23</f>
        <v>4668.1726</v>
      </c>
      <c r="M24" s="39" t="n">
        <f aca="false">M22+M23</f>
        <v>5283.15996</v>
      </c>
      <c r="N24" s="39" t="n">
        <f aca="false">N22+N23</f>
        <v>4910.92992</v>
      </c>
      <c r="O24" s="39" t="n">
        <f aca="false">O22+O23</f>
        <v>4908.53116</v>
      </c>
      <c r="P24" s="39" t="n">
        <f aca="false">SUM(D24:O24)</f>
        <v>45605.42584</v>
      </c>
    </row>
    <row r="25" customFormat="false" ht="15" hidden="false" customHeight="false" outlineLevel="0" collapsed="false">
      <c r="A25" s="20"/>
      <c r="B25" s="8" t="s">
        <v>211</v>
      </c>
      <c r="D25" s="35" t="n">
        <f aca="false">IFERROR(D24/D9,0)</f>
        <v>0.0266339009287925</v>
      </c>
      <c r="E25" s="35" t="n">
        <f aca="false">IFERROR(E24/E9,0)</f>
        <v>0.0332873076678871</v>
      </c>
      <c r="F25" s="35" t="n">
        <f aca="false">IFERROR(F24/F9,0)</f>
        <v>0.051187236713781</v>
      </c>
      <c r="G25" s="35" t="n">
        <f aca="false">IFERROR(G24/G9,0)</f>
        <v>0.0509122060810541</v>
      </c>
      <c r="H25" s="35" t="n">
        <f aca="false">IFERROR(H24/H9,0)</f>
        <v>0.057077168464226</v>
      </c>
      <c r="I25" s="35" t="n">
        <f aca="false">IFERROR(I24/I9,0)</f>
        <v>0.0597781082592331</v>
      </c>
      <c r="J25" s="35" t="n">
        <f aca="false">IFERROR(J24/J9,0)</f>
        <v>0.0579757412993717</v>
      </c>
      <c r="K25" s="35" t="n">
        <f aca="false">IFERROR(K24/K9,0)</f>
        <v>0.0623765409549025</v>
      </c>
      <c r="L25" s="35" t="n">
        <f aca="false">IFERROR(L24/L9,0)</f>
        <v>0.0649374659188283</v>
      </c>
      <c r="M25" s="35" t="n">
        <f aca="false">IFERROR(M24/M9,0)</f>
        <v>0.0714760384614135</v>
      </c>
      <c r="N25" s="35" t="n">
        <f aca="false">IFERROR(N24/N9,0)</f>
        <v>0.0675875818742134</v>
      </c>
      <c r="O25" s="35" t="n">
        <f aca="false">IFERROR(O24/O9,0)</f>
        <v>0.0607780928343102</v>
      </c>
      <c r="P25" s="36" t="n">
        <f aca="false">IFERROR(P24/P9,0)</f>
        <v>0.0565203554043105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EB8"/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15" min="4" style="0" width="12"/>
    <col collapsed="false" customWidth="true" hidden="false" outlineLevel="0" max="16" min="16" style="0" width="14"/>
  </cols>
  <sheetData>
    <row r="1" customFormat="false" ht="25.5" hidden="false" customHeight="true" outlineLevel="0" collapsed="false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213</v>
      </c>
    </row>
    <row r="4" customFormat="false" ht="30" hidden="false" customHeight="true" outlineLevel="0" collapsed="false">
      <c r="A4" s="14" t="s">
        <v>183</v>
      </c>
      <c r="B4" s="14" t="s">
        <v>184</v>
      </c>
      <c r="C4" s="14" t="s">
        <v>214</v>
      </c>
      <c r="D4" s="14" t="s">
        <v>75</v>
      </c>
      <c r="E4" s="14" t="s">
        <v>76</v>
      </c>
      <c r="F4" s="14" t="s">
        <v>77</v>
      </c>
      <c r="G4" s="14" t="s">
        <v>78</v>
      </c>
      <c r="H4" s="14" t="s">
        <v>79</v>
      </c>
      <c r="I4" s="14" t="s">
        <v>80</v>
      </c>
      <c r="J4" s="14" t="s">
        <v>81</v>
      </c>
      <c r="K4" s="14" t="s">
        <v>82</v>
      </c>
      <c r="L4" s="14" t="s">
        <v>83</v>
      </c>
      <c r="M4" s="14" t="s">
        <v>84</v>
      </c>
      <c r="N4" s="14" t="s">
        <v>85</v>
      </c>
      <c r="O4" s="14" t="s">
        <v>86</v>
      </c>
      <c r="P4" s="14" t="s">
        <v>87</v>
      </c>
    </row>
    <row r="5" customFormat="false" ht="15" hidden="false" customHeight="false" outlineLevel="0" collapsed="false">
      <c r="A5" s="26"/>
      <c r="B5" s="27" t="s">
        <v>144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20" t="s">
        <v>142</v>
      </c>
      <c r="B6" s="8" t="s">
        <v>143</v>
      </c>
      <c r="C6" s="29" t="n">
        <f aca="false">Supuestos!$B$18</f>
        <v>25000</v>
      </c>
      <c r="D6" s="29" t="n">
        <f aca="false">Flujo_Caja!D24</f>
        <v>44488.2226666667</v>
      </c>
      <c r="E6" s="29" t="n">
        <f aca="false">Flujo_Caja!E24</f>
        <v>42291.58</v>
      </c>
      <c r="F6" s="29" t="n">
        <f aca="false">Flujo_Caja!F24</f>
        <v>34497.4006666667</v>
      </c>
      <c r="G6" s="29" t="n">
        <f aca="false">Flujo_Caja!G24</f>
        <v>41312.3166666666</v>
      </c>
      <c r="H6" s="29" t="n">
        <f aca="false">Flujo_Caja!H24</f>
        <v>41034.5933333333</v>
      </c>
      <c r="I6" s="29" t="n">
        <f aca="false">Flujo_Caja!I24</f>
        <v>43551.234</v>
      </c>
      <c r="J6" s="29" t="n">
        <f aca="false">Flujo_Caja!J24</f>
        <v>50436.2952</v>
      </c>
      <c r="K6" s="29" t="n">
        <f aca="false">Flujo_Caja!K24</f>
        <v>52021.8978666666</v>
      </c>
      <c r="L6" s="29" t="n">
        <f aca="false">Flujo_Caja!L24</f>
        <v>55427.16</v>
      </c>
      <c r="M6" s="29" t="n">
        <f aca="false">Flujo_Caja!M24</f>
        <v>59803.5565333333</v>
      </c>
      <c r="N6" s="29" t="n">
        <f aca="false">Flujo_Caja!N24</f>
        <v>69300.5928</v>
      </c>
      <c r="O6" s="29" t="n">
        <f aca="false">Flujo_Caja!O24</f>
        <v>62663.9690666666</v>
      </c>
      <c r="P6" s="30" t="n">
        <f aca="false">O6</f>
        <v>62663.9690666666</v>
      </c>
    </row>
    <row r="7" customFormat="false" ht="15" hidden="false" customHeight="false" outlineLevel="0" collapsed="false">
      <c r="A7" s="20" t="s">
        <v>145</v>
      </c>
      <c r="B7" s="8" t="s">
        <v>146</v>
      </c>
      <c r="C7" s="29" t="n">
        <f aca="false">Supuestos!$B$19</f>
        <v>98000</v>
      </c>
      <c r="D7" s="34" t="n">
        <f aca="false">PyG!D9*Supuestos!$B$8/30</f>
        <v>81008.4</v>
      </c>
      <c r="E7" s="34" t="n">
        <f aca="false">PyG!E9*Supuestos!$B$8/30</f>
        <v>85048.2</v>
      </c>
      <c r="F7" s="34" t="n">
        <f aca="false">PyG!F9*Supuestos!$B$8/30</f>
        <v>95820.15</v>
      </c>
      <c r="G7" s="34" t="n">
        <f aca="false">PyG!G9*Supuestos!$B$8/30</f>
        <v>93807.75</v>
      </c>
      <c r="H7" s="34" t="n">
        <f aca="false">PyG!H9*Supuestos!$B$8/30</f>
        <v>98745</v>
      </c>
      <c r="I7" s="34" t="n">
        <f aca="false">PyG!I9*Supuestos!$B$8/30</f>
        <v>101669.85</v>
      </c>
      <c r="J7" s="34" t="n">
        <f aca="false">PyG!J9*Supuestos!$B$8/30</f>
        <v>100603.08</v>
      </c>
      <c r="K7" s="34" t="n">
        <f aca="false">PyG!K9*Supuestos!$B$8/30</f>
        <v>104788.92</v>
      </c>
      <c r="L7" s="34" t="n">
        <f aca="false">PyG!L9*Supuestos!$B$8/30</f>
        <v>107830.8</v>
      </c>
      <c r="M7" s="34" t="n">
        <f aca="false">PyG!M9*Supuestos!$B$8/30</f>
        <v>110872.68</v>
      </c>
      <c r="N7" s="34" t="n">
        <f aca="false">PyG!N9*Supuestos!$B$8/30</f>
        <v>108990.36</v>
      </c>
      <c r="O7" s="34" t="n">
        <f aca="false">PyG!O9*Supuestos!$B$8/30</f>
        <v>121142.28</v>
      </c>
      <c r="P7" s="30" t="n">
        <f aca="false">O7</f>
        <v>121142.28</v>
      </c>
    </row>
    <row r="8" customFormat="false" ht="15" hidden="false" customHeight="false" outlineLevel="0" collapsed="false">
      <c r="A8" s="20" t="s">
        <v>147</v>
      </c>
      <c r="B8" s="8" t="s">
        <v>148</v>
      </c>
      <c r="C8" s="29" t="n">
        <f aca="false">Supuestos!$B$20</f>
        <v>76000</v>
      </c>
      <c r="D8" s="34" t="n">
        <f aca="false">-PyG!D10*Supuestos!$B$9/30</f>
        <v>73447.616</v>
      </c>
      <c r="E8" s="34" t="n">
        <f aca="false">-PyG!E10*Supuestos!$B$9/30</f>
        <v>77110.368</v>
      </c>
      <c r="F8" s="34" t="n">
        <f aca="false">-PyG!F10*Supuestos!$B$9/30</f>
        <v>86876.936</v>
      </c>
      <c r="G8" s="34" t="n">
        <f aca="false">-PyG!G10*Supuestos!$B$9/30</f>
        <v>85052.36</v>
      </c>
      <c r="H8" s="34" t="n">
        <f aca="false">-PyG!H10*Supuestos!$B$9/30</f>
        <v>89528.8</v>
      </c>
      <c r="I8" s="34" t="n">
        <f aca="false">-PyG!I10*Supuestos!$B$9/30</f>
        <v>92180.664</v>
      </c>
      <c r="J8" s="34" t="n">
        <f aca="false">-PyG!J10*Supuestos!$B$9/30</f>
        <v>91213.4592</v>
      </c>
      <c r="K8" s="34" t="n">
        <f aca="false">-PyG!K10*Supuestos!$B$9/30</f>
        <v>95008.6208</v>
      </c>
      <c r="L8" s="34" t="n">
        <f aca="false">-PyG!L10*Supuestos!$B$9/30</f>
        <v>97766.592</v>
      </c>
      <c r="M8" s="34" t="n">
        <f aca="false">-PyG!M10*Supuestos!$B$9/30</f>
        <v>100524.5632</v>
      </c>
      <c r="N8" s="34" t="n">
        <f aca="false">-PyG!N10*Supuestos!$B$9/30</f>
        <v>98817.9264</v>
      </c>
      <c r="O8" s="34" t="n">
        <f aca="false">-PyG!O10*Supuestos!$B$9/30</f>
        <v>109835.6672</v>
      </c>
      <c r="P8" s="30" t="n">
        <f aca="false">O8</f>
        <v>109835.6672</v>
      </c>
    </row>
    <row r="9" customFormat="false" ht="15" hidden="false" customHeight="false" outlineLevel="0" collapsed="false">
      <c r="A9" s="20" t="s">
        <v>149</v>
      </c>
      <c r="B9" s="8" t="s">
        <v>150</v>
      </c>
      <c r="C9" s="29" t="n">
        <f aca="false">Supuestos!$B$21</f>
        <v>420000</v>
      </c>
      <c r="D9" s="34" t="n">
        <f aca="false">C9+Supuestos!$B$11</f>
        <v>423000</v>
      </c>
      <c r="E9" s="34" t="n">
        <f aca="false">D9+Supuestos!$B$11</f>
        <v>426000</v>
      </c>
      <c r="F9" s="34" t="n">
        <f aca="false">E9+Supuestos!$B$11</f>
        <v>429000</v>
      </c>
      <c r="G9" s="34" t="n">
        <f aca="false">F9+Supuestos!$B$11</f>
        <v>432000</v>
      </c>
      <c r="H9" s="34" t="n">
        <f aca="false">G9+Supuestos!$B$11</f>
        <v>435000</v>
      </c>
      <c r="I9" s="34" t="n">
        <f aca="false">H9+Supuestos!$B$11</f>
        <v>438000</v>
      </c>
      <c r="J9" s="34" t="n">
        <f aca="false">I9+Supuestos!$B$11</f>
        <v>441000</v>
      </c>
      <c r="K9" s="34" t="n">
        <f aca="false">J9+Supuestos!$B$11</f>
        <v>444000</v>
      </c>
      <c r="L9" s="34" t="n">
        <f aca="false">K9+Supuestos!$B$11</f>
        <v>447000</v>
      </c>
      <c r="M9" s="34" t="n">
        <f aca="false">L9+Supuestos!$B$11</f>
        <v>450000</v>
      </c>
      <c r="N9" s="34" t="n">
        <f aca="false">M9+Supuestos!$B$11</f>
        <v>453000</v>
      </c>
      <c r="O9" s="34" t="n">
        <f aca="false">N9+Supuestos!$B$11</f>
        <v>456000</v>
      </c>
      <c r="P9" s="30" t="n">
        <f aca="false">O9</f>
        <v>456000</v>
      </c>
    </row>
    <row r="10" customFormat="false" ht="15" hidden="false" customHeight="false" outlineLevel="0" collapsed="false">
      <c r="A10" s="20" t="s">
        <v>151</v>
      </c>
      <c r="B10" s="8" t="s">
        <v>152</v>
      </c>
      <c r="C10" s="29" t="n">
        <f aca="false">Supuestos!$B$22</f>
        <v>-150000</v>
      </c>
      <c r="D10" s="29" t="n">
        <f aca="false">C10+PyG!D19</f>
        <v>-153525</v>
      </c>
      <c r="E10" s="29" t="n">
        <f aca="false">D10+PyG!E19</f>
        <v>-157075</v>
      </c>
      <c r="F10" s="29" t="n">
        <f aca="false">E10+PyG!F19</f>
        <v>-160650</v>
      </c>
      <c r="G10" s="29" t="n">
        <f aca="false">F10+PyG!G19</f>
        <v>-164250</v>
      </c>
      <c r="H10" s="29" t="n">
        <f aca="false">G10+PyG!H19</f>
        <v>-167875</v>
      </c>
      <c r="I10" s="29" t="n">
        <f aca="false">H10+PyG!I19</f>
        <v>-171525</v>
      </c>
      <c r="J10" s="29" t="n">
        <f aca="false">I10+PyG!J19</f>
        <v>-175200</v>
      </c>
      <c r="K10" s="29" t="n">
        <f aca="false">J10+PyG!K19</f>
        <v>-178900</v>
      </c>
      <c r="L10" s="29" t="n">
        <f aca="false">K10+PyG!L19</f>
        <v>-182625</v>
      </c>
      <c r="M10" s="29" t="n">
        <f aca="false">L10+PyG!M19</f>
        <v>-186375</v>
      </c>
      <c r="N10" s="29" t="n">
        <f aca="false">M10+PyG!N19</f>
        <v>-190150</v>
      </c>
      <c r="O10" s="29" t="n">
        <f aca="false">N10+PyG!O19</f>
        <v>-193950</v>
      </c>
      <c r="P10" s="30" t="n">
        <f aca="false">O10</f>
        <v>-193950</v>
      </c>
    </row>
    <row r="11" customFormat="false" ht="15" hidden="false" customHeight="false" outlineLevel="0" collapsed="false">
      <c r="A11" s="20"/>
      <c r="B11" s="37" t="s">
        <v>215</v>
      </c>
      <c r="C11" s="40" t="n">
        <f aca="false">SUM(C6:C10)</f>
        <v>469000</v>
      </c>
      <c r="D11" s="39" t="n">
        <f aca="false">SUM(D6:D10)</f>
        <v>468419.238666667</v>
      </c>
      <c r="E11" s="39" t="n">
        <f aca="false">SUM(E6:E10)</f>
        <v>473375.148</v>
      </c>
      <c r="F11" s="39" t="n">
        <f aca="false">SUM(F6:F10)</f>
        <v>485544.486666667</v>
      </c>
      <c r="G11" s="39" t="n">
        <f aca="false">SUM(G6:G10)</f>
        <v>487922.426666667</v>
      </c>
      <c r="H11" s="39" t="n">
        <f aca="false">SUM(H6:H10)</f>
        <v>496433.393333333</v>
      </c>
      <c r="I11" s="39" t="n">
        <f aca="false">SUM(I6:I10)</f>
        <v>503876.748</v>
      </c>
      <c r="J11" s="39" t="n">
        <f aca="false">SUM(J6:J10)</f>
        <v>508052.8344</v>
      </c>
      <c r="K11" s="39" t="n">
        <f aca="false">SUM(K6:K10)</f>
        <v>516919.438666667</v>
      </c>
      <c r="L11" s="39" t="n">
        <f aca="false">SUM(L6:L10)</f>
        <v>525399.552</v>
      </c>
      <c r="M11" s="39" t="n">
        <f aca="false">SUM(M6:M10)</f>
        <v>534825.799733333</v>
      </c>
      <c r="N11" s="39" t="n">
        <f aca="false">SUM(N6:N10)</f>
        <v>539958.8792</v>
      </c>
      <c r="O11" s="39" t="n">
        <f aca="false">SUM(O6:O10)</f>
        <v>555691.916266667</v>
      </c>
      <c r="P11" s="39" t="n">
        <f aca="false">O11</f>
        <v>555691.916266667</v>
      </c>
    </row>
    <row r="13" customFormat="false" ht="15" hidden="false" customHeight="false" outlineLevel="0" collapsed="false">
      <c r="A13" s="26"/>
      <c r="B13" s="27" t="s">
        <v>155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customFormat="false" ht="15" hidden="false" customHeight="false" outlineLevel="0" collapsed="false">
      <c r="A14" s="20" t="s">
        <v>153</v>
      </c>
      <c r="B14" s="8" t="s">
        <v>154</v>
      </c>
      <c r="C14" s="29" t="n">
        <f aca="false">Supuestos!$B$23</f>
        <v>180000</v>
      </c>
      <c r="D14" s="34" t="n">
        <f aca="false">MAX(0,C14-Supuestos!$B$14)</f>
        <v>179000</v>
      </c>
      <c r="E14" s="34" t="n">
        <f aca="false">MAX(0,D14-Supuestos!$B$14)</f>
        <v>178000</v>
      </c>
      <c r="F14" s="34" t="n">
        <f aca="false">MAX(0,E14-Supuestos!$B$14)</f>
        <v>177000</v>
      </c>
      <c r="G14" s="34" t="n">
        <f aca="false">MAX(0,F14-Supuestos!$B$14)</f>
        <v>176000</v>
      </c>
      <c r="H14" s="34" t="n">
        <f aca="false">MAX(0,G14-Supuestos!$B$14)</f>
        <v>175000</v>
      </c>
      <c r="I14" s="34" t="n">
        <f aca="false">MAX(0,H14-Supuestos!$B$14)</f>
        <v>174000</v>
      </c>
      <c r="J14" s="34" t="n">
        <f aca="false">MAX(0,I14-Supuestos!$B$14)</f>
        <v>173000</v>
      </c>
      <c r="K14" s="34" t="n">
        <f aca="false">MAX(0,J14-Supuestos!$B$14)</f>
        <v>172000</v>
      </c>
      <c r="L14" s="34" t="n">
        <f aca="false">MAX(0,K14-Supuestos!$B$14)</f>
        <v>171000</v>
      </c>
      <c r="M14" s="34" t="n">
        <f aca="false">MAX(0,L14-Supuestos!$B$14)</f>
        <v>170000</v>
      </c>
      <c r="N14" s="34" t="n">
        <f aca="false">MAX(0,M14-Supuestos!$B$14)</f>
        <v>169000</v>
      </c>
      <c r="O14" s="34" t="n">
        <f aca="false">MAX(0,N14-Supuestos!$B$14)</f>
        <v>168000</v>
      </c>
      <c r="P14" s="30" t="n">
        <f aca="false">O14</f>
        <v>168000</v>
      </c>
    </row>
    <row r="15" customFormat="false" ht="15" hidden="false" customHeight="false" outlineLevel="0" collapsed="false">
      <c r="A15" s="20" t="s">
        <v>156</v>
      </c>
      <c r="B15" s="8" t="s">
        <v>157</v>
      </c>
      <c r="C15" s="29" t="n">
        <f aca="false">Supuestos!$B$24</f>
        <v>63000</v>
      </c>
      <c r="D15" s="34" t="n">
        <f aca="false">-PyG!D10*Supuestos!$B$10/30</f>
        <v>61206.3466666667</v>
      </c>
      <c r="E15" s="34" t="n">
        <f aca="false">-PyG!E10*Supuestos!$B$10/30</f>
        <v>64258.64</v>
      </c>
      <c r="F15" s="34" t="n">
        <f aca="false">-PyG!F10*Supuestos!$B$10/30</f>
        <v>72397.4466666667</v>
      </c>
      <c r="G15" s="34" t="n">
        <f aca="false">-PyG!G10*Supuestos!$B$10/30</f>
        <v>70876.9666666667</v>
      </c>
      <c r="H15" s="34" t="n">
        <f aca="false">-PyG!H10*Supuestos!$B$10/30</f>
        <v>74607.3333333333</v>
      </c>
      <c r="I15" s="34" t="n">
        <f aca="false">-PyG!I10*Supuestos!$B$10/30</f>
        <v>76817.22</v>
      </c>
      <c r="J15" s="34" t="n">
        <f aca="false">-PyG!J10*Supuestos!$B$10/30</f>
        <v>76011.216</v>
      </c>
      <c r="K15" s="34" t="n">
        <f aca="false">-PyG!K10*Supuestos!$B$10/30</f>
        <v>79173.8506666667</v>
      </c>
      <c r="L15" s="34" t="n">
        <f aca="false">-PyG!L10*Supuestos!$B$10/30</f>
        <v>81472.16</v>
      </c>
      <c r="M15" s="34" t="n">
        <f aca="false">-PyG!M10*Supuestos!$B$10/30</f>
        <v>83770.4693333333</v>
      </c>
      <c r="N15" s="34" t="n">
        <f aca="false">-PyG!N10*Supuestos!$B$10/30</f>
        <v>82348.272</v>
      </c>
      <c r="O15" s="34" t="n">
        <f aca="false">-PyG!O10*Supuestos!$B$10/30</f>
        <v>91529.7226666667</v>
      </c>
      <c r="P15" s="30" t="n">
        <f aca="false">O15</f>
        <v>91529.7226666667</v>
      </c>
    </row>
    <row r="16" customFormat="false" ht="15" hidden="false" customHeight="false" outlineLevel="0" collapsed="false">
      <c r="A16" s="20" t="s">
        <v>158</v>
      </c>
      <c r="B16" s="8" t="s">
        <v>159</v>
      </c>
      <c r="C16" s="29" t="n">
        <f aca="false">Supuestos!$B$25</f>
        <v>0</v>
      </c>
      <c r="D16" s="29" t="n">
        <f aca="false">C16-PyG!D23</f>
        <v>774.512199999998</v>
      </c>
      <c r="E16" s="29" t="n">
        <f aca="false">D16-PyG!E23</f>
        <v>1790.7778</v>
      </c>
      <c r="F16" s="29" t="n">
        <f aca="false">E16-PyG!F23</f>
        <v>3551.464</v>
      </c>
      <c r="G16" s="29" t="n">
        <f aca="false">F16-PyG!G23</f>
        <v>5265.911</v>
      </c>
      <c r="H16" s="29" t="n">
        <f aca="false">G16-PyG!H23</f>
        <v>7289.12099999999</v>
      </c>
      <c r="I16" s="29" t="n">
        <f aca="false">H16-PyG!I23</f>
        <v>9470.83479999999</v>
      </c>
      <c r="J16" s="29" t="n">
        <f aca="false">I16-PyG!J23</f>
        <v>11564.56644</v>
      </c>
      <c r="K16" s="29" t="n">
        <f aca="false">J16-PyG!K23</f>
        <v>13910.9558</v>
      </c>
      <c r="L16" s="29" t="n">
        <f aca="false">K16-PyG!L23</f>
        <v>16424.5872</v>
      </c>
      <c r="M16" s="29" t="n">
        <f aca="false">L16-PyG!M23</f>
        <v>19269.36564</v>
      </c>
      <c r="N16" s="29" t="n">
        <f aca="false">M16-PyG!N23</f>
        <v>21913.71252</v>
      </c>
      <c r="O16" s="29" t="n">
        <f aca="false">N16-PyG!O23</f>
        <v>24556.76776</v>
      </c>
      <c r="P16" s="30" t="n">
        <f aca="false">O16</f>
        <v>24556.76776</v>
      </c>
    </row>
    <row r="17" customFormat="false" ht="15" hidden="false" customHeight="false" outlineLevel="0" collapsed="false">
      <c r="A17" s="20"/>
      <c r="B17" s="31" t="s">
        <v>216</v>
      </c>
      <c r="C17" s="41" t="n">
        <f aca="false">SUM(C14:C16)</f>
        <v>243000</v>
      </c>
      <c r="D17" s="33" t="n">
        <f aca="false">SUM(D14:D16)</f>
        <v>240980.858866667</v>
      </c>
      <c r="E17" s="33" t="n">
        <f aca="false">SUM(E14:E16)</f>
        <v>244049.4178</v>
      </c>
      <c r="F17" s="33" t="n">
        <f aca="false">SUM(F14:F16)</f>
        <v>252948.910666667</v>
      </c>
      <c r="G17" s="33" t="n">
        <f aca="false">SUM(G14:G16)</f>
        <v>252142.877666667</v>
      </c>
      <c r="H17" s="33" t="n">
        <f aca="false">SUM(H14:H16)</f>
        <v>256896.454333333</v>
      </c>
      <c r="I17" s="33" t="n">
        <f aca="false">SUM(I14:I16)</f>
        <v>260288.0548</v>
      </c>
      <c r="J17" s="33" t="n">
        <f aca="false">SUM(J14:J16)</f>
        <v>260575.78244</v>
      </c>
      <c r="K17" s="33" t="n">
        <f aca="false">SUM(K14:K16)</f>
        <v>265084.806466667</v>
      </c>
      <c r="L17" s="33" t="n">
        <f aca="false">SUM(L14:L16)</f>
        <v>268896.7472</v>
      </c>
      <c r="M17" s="33" t="n">
        <f aca="false">SUM(M14:M16)</f>
        <v>273039.834973333</v>
      </c>
      <c r="N17" s="33" t="n">
        <f aca="false">SUM(N14:N16)</f>
        <v>273261.98452</v>
      </c>
      <c r="O17" s="33" t="n">
        <f aca="false">SUM(O14:O16)</f>
        <v>284086.490426667</v>
      </c>
      <c r="P17" s="33" t="n">
        <f aca="false">O17</f>
        <v>284086.490426667</v>
      </c>
    </row>
    <row r="19" customFormat="false" ht="15" hidden="false" customHeight="false" outlineLevel="0" collapsed="false">
      <c r="A19" s="26"/>
      <c r="B19" s="27" t="s">
        <v>162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customFormat="false" ht="15" hidden="false" customHeight="false" outlineLevel="0" collapsed="false">
      <c r="A20" s="20" t="s">
        <v>160</v>
      </c>
      <c r="B20" s="8" t="s">
        <v>161</v>
      </c>
      <c r="C20" s="29" t="n">
        <f aca="false">Supuestos!$B$26</f>
        <v>200000</v>
      </c>
      <c r="D20" s="34" t="n">
        <f aca="false">C20</f>
        <v>200000</v>
      </c>
      <c r="E20" s="34" t="n">
        <f aca="false">D20</f>
        <v>200000</v>
      </c>
      <c r="F20" s="34" t="n">
        <f aca="false">E20</f>
        <v>200000</v>
      </c>
      <c r="G20" s="34" t="n">
        <f aca="false">F20</f>
        <v>200000</v>
      </c>
      <c r="H20" s="34" t="n">
        <f aca="false">G20</f>
        <v>200000</v>
      </c>
      <c r="I20" s="34" t="n">
        <f aca="false">H20</f>
        <v>200000</v>
      </c>
      <c r="J20" s="34" t="n">
        <f aca="false">I20</f>
        <v>200000</v>
      </c>
      <c r="K20" s="34" t="n">
        <f aca="false">J20</f>
        <v>200000</v>
      </c>
      <c r="L20" s="34" t="n">
        <f aca="false">K20</f>
        <v>200000</v>
      </c>
      <c r="M20" s="34" t="n">
        <f aca="false">L20</f>
        <v>200000</v>
      </c>
      <c r="N20" s="34" t="n">
        <f aca="false">M20</f>
        <v>200000</v>
      </c>
      <c r="O20" s="34" t="n">
        <f aca="false">N20</f>
        <v>200000</v>
      </c>
      <c r="P20" s="30" t="n">
        <f aca="false">O20</f>
        <v>200000</v>
      </c>
    </row>
    <row r="21" customFormat="false" ht="15" hidden="false" customHeight="false" outlineLevel="0" collapsed="false">
      <c r="A21" s="20" t="s">
        <v>163</v>
      </c>
      <c r="B21" s="8" t="s">
        <v>164</v>
      </c>
      <c r="C21" s="29" t="n">
        <f aca="false">Supuestos!$B$27</f>
        <v>26000</v>
      </c>
      <c r="D21" s="34" t="n">
        <f aca="false">C21</f>
        <v>26000</v>
      </c>
      <c r="E21" s="34" t="n">
        <f aca="false">D21</f>
        <v>26000</v>
      </c>
      <c r="F21" s="34" t="n">
        <f aca="false">E21</f>
        <v>26000</v>
      </c>
      <c r="G21" s="34" t="n">
        <f aca="false">F21</f>
        <v>26000</v>
      </c>
      <c r="H21" s="34" t="n">
        <f aca="false">G21</f>
        <v>26000</v>
      </c>
      <c r="I21" s="34" t="n">
        <f aca="false">H21</f>
        <v>26000</v>
      </c>
      <c r="J21" s="34" t="n">
        <f aca="false">I21</f>
        <v>26000</v>
      </c>
      <c r="K21" s="34" t="n">
        <f aca="false">J21</f>
        <v>26000</v>
      </c>
      <c r="L21" s="34" t="n">
        <f aca="false">K21</f>
        <v>26000</v>
      </c>
      <c r="M21" s="34" t="n">
        <f aca="false">L21</f>
        <v>26000</v>
      </c>
      <c r="N21" s="34" t="n">
        <f aca="false">M21</f>
        <v>26000</v>
      </c>
      <c r="O21" s="34" t="n">
        <f aca="false">N21</f>
        <v>26000</v>
      </c>
      <c r="P21" s="30" t="n">
        <f aca="false">O21</f>
        <v>26000</v>
      </c>
    </row>
    <row r="22" customFormat="false" ht="15" hidden="false" customHeight="false" outlineLevel="0" collapsed="false">
      <c r="A22" s="20" t="s">
        <v>165</v>
      </c>
      <c r="B22" s="8" t="s">
        <v>217</v>
      </c>
      <c r="C22" s="34" t="n">
        <v>0</v>
      </c>
      <c r="D22" s="29" t="n">
        <f aca="false">SUM(PyG!$D$24:D$24)</f>
        <v>1438.3798</v>
      </c>
      <c r="E22" s="29" t="n">
        <f aca="false">SUM(PyG!$D$24:E$24)</f>
        <v>3325.73019999999</v>
      </c>
      <c r="F22" s="29" t="n">
        <f aca="false">SUM(PyG!$D$24:F$24)</f>
        <v>6595.57599999999</v>
      </c>
      <c r="G22" s="29" t="n">
        <f aca="false">SUM(PyG!$D$24:G$24)</f>
        <v>9779.54899999999</v>
      </c>
      <c r="H22" s="29" t="n">
        <f aca="false">SUM(PyG!$D$24:H$24)</f>
        <v>13536.939</v>
      </c>
      <c r="I22" s="29" t="n">
        <f aca="false">SUM(PyG!$D$24:I$24)</f>
        <v>17588.6932</v>
      </c>
      <c r="J22" s="29" t="n">
        <f aca="false">SUM(PyG!$D$24:J$24)</f>
        <v>21477.05196</v>
      </c>
      <c r="K22" s="29" t="n">
        <f aca="false">SUM(PyG!$D$24:K$24)</f>
        <v>25834.6322</v>
      </c>
      <c r="L22" s="29" t="n">
        <f aca="false">SUM(PyG!$D$24:L$24)</f>
        <v>30502.8048</v>
      </c>
      <c r="M22" s="29" t="n">
        <f aca="false">SUM(PyG!$D$24:M$24)</f>
        <v>35785.96476</v>
      </c>
      <c r="N22" s="29" t="n">
        <f aca="false">SUM(PyG!$D$24:N$24)</f>
        <v>40696.89468</v>
      </c>
      <c r="O22" s="29" t="n">
        <f aca="false">SUM(PyG!$D$24:O$24)</f>
        <v>45605.42584</v>
      </c>
      <c r="P22" s="30" t="n">
        <f aca="false">O22</f>
        <v>45605.42584</v>
      </c>
    </row>
    <row r="23" customFormat="false" ht="15" hidden="false" customHeight="false" outlineLevel="0" collapsed="false">
      <c r="A23" s="20"/>
      <c r="B23" s="31" t="s">
        <v>218</v>
      </c>
      <c r="C23" s="41" t="n">
        <f aca="false">SUM(C20:C22)</f>
        <v>226000</v>
      </c>
      <c r="D23" s="33" t="n">
        <f aca="false">SUM(D20:D22)</f>
        <v>227438.3798</v>
      </c>
      <c r="E23" s="33" t="n">
        <f aca="false">SUM(E20:E22)</f>
        <v>229325.7302</v>
      </c>
      <c r="F23" s="33" t="n">
        <f aca="false">SUM(F20:F22)</f>
        <v>232595.576</v>
      </c>
      <c r="G23" s="33" t="n">
        <f aca="false">SUM(G20:G22)</f>
        <v>235779.549</v>
      </c>
      <c r="H23" s="33" t="n">
        <f aca="false">SUM(H20:H22)</f>
        <v>239536.939</v>
      </c>
      <c r="I23" s="33" t="n">
        <f aca="false">SUM(I20:I22)</f>
        <v>243588.6932</v>
      </c>
      <c r="J23" s="33" t="n">
        <f aca="false">SUM(J20:J22)</f>
        <v>247477.05196</v>
      </c>
      <c r="K23" s="33" t="n">
        <f aca="false">SUM(K20:K22)</f>
        <v>251834.6322</v>
      </c>
      <c r="L23" s="33" t="n">
        <f aca="false">SUM(L20:L22)</f>
        <v>256502.8048</v>
      </c>
      <c r="M23" s="33" t="n">
        <f aca="false">SUM(M20:M22)</f>
        <v>261785.96476</v>
      </c>
      <c r="N23" s="33" t="n">
        <f aca="false">SUM(N20:N22)</f>
        <v>266696.89468</v>
      </c>
      <c r="O23" s="33" t="n">
        <f aca="false">SUM(O20:O22)</f>
        <v>271605.42584</v>
      </c>
      <c r="P23" s="33" t="n">
        <f aca="false">O23</f>
        <v>271605.42584</v>
      </c>
    </row>
    <row r="24" customFormat="false" ht="15" hidden="false" customHeight="false" outlineLevel="0" collapsed="false">
      <c r="A24" s="20"/>
      <c r="B24" s="37" t="s">
        <v>219</v>
      </c>
      <c r="C24" s="40" t="n">
        <f aca="false">C17+C23</f>
        <v>469000</v>
      </c>
      <c r="D24" s="39" t="n">
        <f aca="false">D17+D23</f>
        <v>468419.238666667</v>
      </c>
      <c r="E24" s="39" t="n">
        <f aca="false">E17+E23</f>
        <v>473375.148</v>
      </c>
      <c r="F24" s="39" t="n">
        <f aca="false">F17+F23</f>
        <v>485544.486666667</v>
      </c>
      <c r="G24" s="39" t="n">
        <f aca="false">G17+G23</f>
        <v>487922.426666667</v>
      </c>
      <c r="H24" s="39" t="n">
        <f aca="false">H17+H23</f>
        <v>496433.393333333</v>
      </c>
      <c r="I24" s="39" t="n">
        <f aca="false">I17+I23</f>
        <v>503876.748</v>
      </c>
      <c r="J24" s="39" t="n">
        <f aca="false">J17+J23</f>
        <v>508052.8344</v>
      </c>
      <c r="K24" s="39" t="n">
        <f aca="false">K17+K23</f>
        <v>516919.438666667</v>
      </c>
      <c r="L24" s="39" t="n">
        <f aca="false">L17+L23</f>
        <v>525399.552</v>
      </c>
      <c r="M24" s="39" t="n">
        <f aca="false">M17+M23</f>
        <v>534825.799733333</v>
      </c>
      <c r="N24" s="39" t="n">
        <f aca="false">N17+N23</f>
        <v>539958.8792</v>
      </c>
      <c r="O24" s="39" t="n">
        <f aca="false">O17+O23</f>
        <v>555691.916266667</v>
      </c>
      <c r="P24" s="39" t="n">
        <f aca="false">O24</f>
        <v>555691.916266667</v>
      </c>
    </row>
    <row r="26" customFormat="false" ht="15" hidden="false" customHeight="false" outlineLevel="0" collapsed="false">
      <c r="A26" s="20"/>
      <c r="B26" s="42" t="s">
        <v>220</v>
      </c>
      <c r="C26" s="34" t="n">
        <f aca="false">ROUND(C11-C24,2)</f>
        <v>0</v>
      </c>
      <c r="D26" s="34" t="n">
        <f aca="false">ROUND(D11-D24,2)</f>
        <v>0</v>
      </c>
      <c r="E26" s="34" t="n">
        <f aca="false">ROUND(E11-E24,2)</f>
        <v>0</v>
      </c>
      <c r="F26" s="34" t="n">
        <f aca="false">ROUND(F11-F24,2)</f>
        <v>0</v>
      </c>
      <c r="G26" s="34" t="n">
        <f aca="false">ROUND(G11-G24,2)</f>
        <v>0</v>
      </c>
      <c r="H26" s="34" t="n">
        <f aca="false">ROUND(H11-H24,2)</f>
        <v>0</v>
      </c>
      <c r="I26" s="34" t="n">
        <f aca="false">ROUND(I11-I24,2)</f>
        <v>0</v>
      </c>
      <c r="J26" s="34" t="n">
        <f aca="false">ROUND(J11-J24,2)</f>
        <v>0</v>
      </c>
      <c r="K26" s="34" t="n">
        <f aca="false">ROUND(K11-K24,2)</f>
        <v>0</v>
      </c>
      <c r="L26" s="34" t="n">
        <f aca="false">ROUND(L11-L24,2)</f>
        <v>0</v>
      </c>
      <c r="M26" s="34" t="n">
        <f aca="false">ROUND(M11-M24,2)</f>
        <v>0</v>
      </c>
      <c r="N26" s="34" t="n">
        <f aca="false">ROUND(N11-N24,2)</f>
        <v>0</v>
      </c>
      <c r="O26" s="34" t="n">
        <f aca="false">ROUND(O11-O24,2)</f>
        <v>0</v>
      </c>
      <c r="P26" s="30" t="n">
        <f aca="false">O26</f>
        <v>0</v>
      </c>
    </row>
  </sheetData>
  <conditionalFormatting sqref="C26:P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EB8"/>
    <pageSetUpPr fitToPage="tru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"/>
    <col collapsed="false" customWidth="true" hidden="false" outlineLevel="0" max="15" min="4" style="0" width="12"/>
    <col collapsed="false" customWidth="true" hidden="false" outlineLevel="0" max="16" min="16" style="0" width="14"/>
  </cols>
  <sheetData>
    <row r="1" customFormat="false" ht="25.5" hidden="false" customHeight="true" outlineLevel="0" collapsed="false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222</v>
      </c>
    </row>
    <row r="4" customFormat="false" ht="30" hidden="false" customHeight="true" outlineLevel="0" collapsed="false">
      <c r="A4" s="14" t="s">
        <v>183</v>
      </c>
      <c r="B4" s="14" t="s">
        <v>184</v>
      </c>
      <c r="C4" s="14"/>
      <c r="D4" s="14" t="s">
        <v>75</v>
      </c>
      <c r="E4" s="14" t="s">
        <v>76</v>
      </c>
      <c r="F4" s="14" t="s">
        <v>77</v>
      </c>
      <c r="G4" s="14" t="s">
        <v>78</v>
      </c>
      <c r="H4" s="14" t="s">
        <v>79</v>
      </c>
      <c r="I4" s="14" t="s">
        <v>80</v>
      </c>
      <c r="J4" s="14" t="s">
        <v>81</v>
      </c>
      <c r="K4" s="14" t="s">
        <v>82</v>
      </c>
      <c r="L4" s="14" t="s">
        <v>83</v>
      </c>
      <c r="M4" s="14" t="s">
        <v>84</v>
      </c>
      <c r="N4" s="14" t="s">
        <v>85</v>
      </c>
      <c r="O4" s="14" t="s">
        <v>86</v>
      </c>
      <c r="P4" s="14" t="s">
        <v>87</v>
      </c>
    </row>
    <row r="5" customFormat="false" ht="15" hidden="false" customHeight="false" outlineLevel="0" collapsed="false">
      <c r="A5" s="26"/>
      <c r="B5" s="27" t="s">
        <v>223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20"/>
      <c r="B6" s="8" t="s">
        <v>210</v>
      </c>
      <c r="D6" s="29" t="n">
        <f aca="false">PyG!D24</f>
        <v>1438.3798</v>
      </c>
      <c r="E6" s="29" t="n">
        <f aca="false">PyG!E24</f>
        <v>1887.3504</v>
      </c>
      <c r="F6" s="29" t="n">
        <f aca="false">PyG!F24</f>
        <v>3269.8458</v>
      </c>
      <c r="G6" s="29" t="n">
        <f aca="false">PyG!G24</f>
        <v>3183.973</v>
      </c>
      <c r="H6" s="29" t="n">
        <f aca="false">PyG!H24</f>
        <v>3757.39</v>
      </c>
      <c r="I6" s="29" t="n">
        <f aca="false">PyG!I24</f>
        <v>4051.7542</v>
      </c>
      <c r="J6" s="29" t="n">
        <f aca="false">PyG!J24</f>
        <v>3888.35876</v>
      </c>
      <c r="K6" s="29" t="n">
        <f aca="false">PyG!K24</f>
        <v>4357.58024</v>
      </c>
      <c r="L6" s="29" t="n">
        <f aca="false">PyG!L24</f>
        <v>4668.1726</v>
      </c>
      <c r="M6" s="29" t="n">
        <f aca="false">PyG!M24</f>
        <v>5283.15996</v>
      </c>
      <c r="N6" s="29" t="n">
        <f aca="false">PyG!N24</f>
        <v>4910.92992</v>
      </c>
      <c r="O6" s="29" t="n">
        <f aca="false">PyG!O24</f>
        <v>4908.53116</v>
      </c>
      <c r="P6" s="30" t="n">
        <f aca="false">SUM(D6:O6)</f>
        <v>45605.42584</v>
      </c>
    </row>
    <row r="7" customFormat="false" ht="15" hidden="false" customHeight="false" outlineLevel="0" collapsed="false">
      <c r="A7" s="20"/>
      <c r="B7" s="8" t="s">
        <v>224</v>
      </c>
      <c r="D7" s="29" t="n">
        <f aca="false">-PyG!D19</f>
        <v>3525</v>
      </c>
      <c r="E7" s="29" t="n">
        <f aca="false">-PyG!E19</f>
        <v>3550</v>
      </c>
      <c r="F7" s="29" t="n">
        <f aca="false">-PyG!F19</f>
        <v>3575</v>
      </c>
      <c r="G7" s="29" t="n">
        <f aca="false">-PyG!G19</f>
        <v>3600</v>
      </c>
      <c r="H7" s="29" t="n">
        <f aca="false">-PyG!H19</f>
        <v>3625</v>
      </c>
      <c r="I7" s="29" t="n">
        <f aca="false">-PyG!I19</f>
        <v>3650</v>
      </c>
      <c r="J7" s="29" t="n">
        <f aca="false">-PyG!J19</f>
        <v>3675</v>
      </c>
      <c r="K7" s="29" t="n">
        <f aca="false">-PyG!K19</f>
        <v>3700</v>
      </c>
      <c r="L7" s="29" t="n">
        <f aca="false">-PyG!L19</f>
        <v>3725</v>
      </c>
      <c r="M7" s="29" t="n">
        <f aca="false">-PyG!M19</f>
        <v>3750</v>
      </c>
      <c r="N7" s="29" t="n">
        <f aca="false">-PyG!N19</f>
        <v>3775</v>
      </c>
      <c r="O7" s="29" t="n">
        <f aca="false">-PyG!O19</f>
        <v>3800</v>
      </c>
      <c r="P7" s="30" t="n">
        <f aca="false">SUM(D7:O7)</f>
        <v>43950</v>
      </c>
    </row>
    <row r="8" customFormat="false" ht="15" hidden="false" customHeight="false" outlineLevel="0" collapsed="false">
      <c r="A8" s="20"/>
      <c r="B8" s="8" t="s">
        <v>225</v>
      </c>
      <c r="D8" s="29" t="n">
        <f aca="false">-(Balance!D7-Balance!C7)</f>
        <v>16991.6</v>
      </c>
      <c r="E8" s="29" t="n">
        <f aca="false">-(Balance!E7-Balance!D7)</f>
        <v>-4039.8</v>
      </c>
      <c r="F8" s="29" t="n">
        <f aca="false">-(Balance!F7-Balance!E7)</f>
        <v>-10771.95</v>
      </c>
      <c r="G8" s="29" t="n">
        <f aca="false">-(Balance!G7-Balance!F7)</f>
        <v>2012.39999999999</v>
      </c>
      <c r="H8" s="29" t="n">
        <f aca="false">-(Balance!H7-Balance!G7)</f>
        <v>-4937.25</v>
      </c>
      <c r="I8" s="29" t="n">
        <f aca="false">-(Balance!I7-Balance!H7)</f>
        <v>-2924.84999999999</v>
      </c>
      <c r="J8" s="29" t="n">
        <f aca="false">-(Balance!J7-Balance!I7)</f>
        <v>1066.76999999999</v>
      </c>
      <c r="K8" s="29" t="n">
        <f aca="false">-(Balance!K7-Balance!J7)</f>
        <v>-4185.84</v>
      </c>
      <c r="L8" s="29" t="n">
        <f aca="false">-(Balance!L7-Balance!K7)</f>
        <v>-3041.88</v>
      </c>
      <c r="M8" s="29" t="n">
        <f aca="false">-(Balance!M7-Balance!L7)</f>
        <v>-3041.87999999999</v>
      </c>
      <c r="N8" s="29" t="n">
        <f aca="false">-(Balance!N7-Balance!M7)</f>
        <v>1882.31999999999</v>
      </c>
      <c r="O8" s="29" t="n">
        <f aca="false">-(Balance!O7-Balance!N7)</f>
        <v>-12151.92</v>
      </c>
      <c r="P8" s="30" t="n">
        <f aca="false">SUM(D8:O8)</f>
        <v>-23142.28</v>
      </c>
    </row>
    <row r="9" customFormat="false" ht="15" hidden="false" customHeight="false" outlineLevel="0" collapsed="false">
      <c r="A9" s="20"/>
      <c r="B9" s="8" t="s">
        <v>226</v>
      </c>
      <c r="D9" s="29" t="n">
        <f aca="false">-(Balance!D8-Balance!C8)</f>
        <v>2552.38399999999</v>
      </c>
      <c r="E9" s="29" t="n">
        <f aca="false">-(Balance!E8-Balance!D8)</f>
        <v>-3662.75200000001</v>
      </c>
      <c r="F9" s="29" t="n">
        <f aca="false">-(Balance!F8-Balance!E8)</f>
        <v>-9766.56799999999</v>
      </c>
      <c r="G9" s="29" t="n">
        <f aca="false">-(Balance!G8-Balance!F8)</f>
        <v>1824.576</v>
      </c>
      <c r="H9" s="29" t="n">
        <f aca="false">-(Balance!H8-Balance!G8)</f>
        <v>-4476.44</v>
      </c>
      <c r="I9" s="29" t="n">
        <f aca="false">-(Balance!I8-Balance!H8)</f>
        <v>-2651.864</v>
      </c>
      <c r="J9" s="29" t="n">
        <f aca="false">-(Balance!J8-Balance!I8)</f>
        <v>967.204799999992</v>
      </c>
      <c r="K9" s="29" t="n">
        <f aca="false">-(Balance!K8-Balance!J8)</f>
        <v>-3795.16159999999</v>
      </c>
      <c r="L9" s="29" t="n">
        <f aca="false">-(Balance!L8-Balance!K8)</f>
        <v>-2757.9712</v>
      </c>
      <c r="M9" s="29" t="n">
        <f aca="false">-(Balance!M8-Balance!L8)</f>
        <v>-2757.9712</v>
      </c>
      <c r="N9" s="29" t="n">
        <f aca="false">-(Balance!N8-Balance!M8)</f>
        <v>1706.63680000001</v>
      </c>
      <c r="O9" s="29" t="n">
        <f aca="false">-(Balance!O8-Balance!N8)</f>
        <v>-11017.7408</v>
      </c>
      <c r="P9" s="30" t="n">
        <f aca="false">SUM(D9:O9)</f>
        <v>-33835.6672</v>
      </c>
    </row>
    <row r="10" customFormat="false" ht="15" hidden="false" customHeight="false" outlineLevel="0" collapsed="false">
      <c r="A10" s="20"/>
      <c r="B10" s="8" t="s">
        <v>227</v>
      </c>
      <c r="D10" s="29" t="n">
        <f aca="false">(Balance!D15-Balance!C15)</f>
        <v>-1793.65333333333</v>
      </c>
      <c r="E10" s="29" t="n">
        <f aca="false">(Balance!E15-Balance!D15)</f>
        <v>3052.29333333334</v>
      </c>
      <c r="F10" s="29" t="n">
        <f aca="false">(Balance!F15-Balance!E15)</f>
        <v>8138.80666666666</v>
      </c>
      <c r="G10" s="29" t="n">
        <f aca="false">(Balance!G15-Balance!F15)</f>
        <v>-1520.48000000001</v>
      </c>
      <c r="H10" s="29" t="n">
        <f aca="false">(Balance!H15-Balance!G15)</f>
        <v>3730.36666666667</v>
      </c>
      <c r="I10" s="29" t="n">
        <f aca="false">(Balance!I15-Balance!H15)</f>
        <v>2209.88666666667</v>
      </c>
      <c r="J10" s="29" t="n">
        <f aca="false">(Balance!J15-Balance!I15)</f>
        <v>-806.003999999986</v>
      </c>
      <c r="K10" s="29" t="n">
        <f aca="false">(Balance!K15-Balance!J15)</f>
        <v>3162.63466666665</v>
      </c>
      <c r="L10" s="29" t="n">
        <f aca="false">(Balance!L15-Balance!K15)</f>
        <v>2298.30933333334</v>
      </c>
      <c r="M10" s="29" t="n">
        <f aca="false">(Balance!M15-Balance!L15)</f>
        <v>2298.30933333334</v>
      </c>
      <c r="N10" s="29" t="n">
        <f aca="false">(Balance!N15-Balance!M15)</f>
        <v>-1422.19733333333</v>
      </c>
      <c r="O10" s="29" t="n">
        <f aca="false">(Balance!O15-Balance!N15)</f>
        <v>9181.45066666666</v>
      </c>
      <c r="P10" s="30" t="n">
        <f aca="false">SUM(D10:O10)</f>
        <v>28529.7226666667</v>
      </c>
    </row>
    <row r="11" customFormat="false" ht="15" hidden="false" customHeight="false" outlineLevel="0" collapsed="false">
      <c r="A11" s="20"/>
      <c r="B11" s="8" t="s">
        <v>228</v>
      </c>
      <c r="D11" s="29" t="n">
        <f aca="false">(Balance!D16-Balance!C16)</f>
        <v>774.512199999998</v>
      </c>
      <c r="E11" s="29" t="n">
        <f aca="false">(Balance!E16-Balance!D16)</f>
        <v>1016.2656</v>
      </c>
      <c r="F11" s="29" t="n">
        <f aca="false">(Balance!F16-Balance!E16)</f>
        <v>1760.6862</v>
      </c>
      <c r="G11" s="29" t="n">
        <f aca="false">(Balance!G16-Balance!F16)</f>
        <v>1714.447</v>
      </c>
      <c r="H11" s="29" t="n">
        <f aca="false">(Balance!H16-Balance!G16)</f>
        <v>2023.21</v>
      </c>
      <c r="I11" s="29" t="n">
        <f aca="false">(Balance!I16-Balance!H16)</f>
        <v>2181.7138</v>
      </c>
      <c r="J11" s="29" t="n">
        <f aca="false">(Balance!J16-Balance!I16)</f>
        <v>2093.73164</v>
      </c>
      <c r="K11" s="29" t="n">
        <f aca="false">(Balance!K16-Balance!J16)</f>
        <v>2346.38936</v>
      </c>
      <c r="L11" s="29" t="n">
        <f aca="false">(Balance!L16-Balance!K16)</f>
        <v>2513.6314</v>
      </c>
      <c r="M11" s="29" t="n">
        <f aca="false">(Balance!M16-Balance!L16)</f>
        <v>2844.77844</v>
      </c>
      <c r="N11" s="29" t="n">
        <f aca="false">(Balance!N16-Balance!M16)</f>
        <v>2644.34688</v>
      </c>
      <c r="O11" s="29" t="n">
        <f aca="false">(Balance!O16-Balance!N16)</f>
        <v>2643.05524</v>
      </c>
      <c r="P11" s="30" t="n">
        <f aca="false">SUM(D11:O11)</f>
        <v>24556.76776</v>
      </c>
    </row>
    <row r="12" customFormat="false" ht="15" hidden="false" customHeight="false" outlineLevel="0" collapsed="false">
      <c r="A12" s="20"/>
      <c r="B12" s="31" t="s">
        <v>229</v>
      </c>
      <c r="C12" s="32"/>
      <c r="D12" s="33" t="n">
        <f aca="false">SUM(D6:D11)</f>
        <v>23488.2226666667</v>
      </c>
      <c r="E12" s="33" t="n">
        <f aca="false">SUM(E6:E11)</f>
        <v>1803.35733333333</v>
      </c>
      <c r="F12" s="33" t="n">
        <f aca="false">SUM(F6:F11)</f>
        <v>-3794.17933333333</v>
      </c>
      <c r="G12" s="33" t="n">
        <f aca="false">SUM(G6:G11)</f>
        <v>10814.916</v>
      </c>
      <c r="H12" s="33" t="n">
        <f aca="false">SUM(H6:H11)</f>
        <v>3722.27666666667</v>
      </c>
      <c r="I12" s="33" t="n">
        <f aca="false">SUM(I6:I11)</f>
        <v>6516.64066666667</v>
      </c>
      <c r="J12" s="33" t="n">
        <f aca="false">SUM(J6:J11)</f>
        <v>10885.0612</v>
      </c>
      <c r="K12" s="33" t="n">
        <f aca="false">SUM(K6:K11)</f>
        <v>5585.60266666666</v>
      </c>
      <c r="L12" s="33" t="n">
        <f aca="false">SUM(L6:L11)</f>
        <v>7405.26213333333</v>
      </c>
      <c r="M12" s="33" t="n">
        <f aca="false">SUM(M6:M11)</f>
        <v>8376.39653333334</v>
      </c>
      <c r="N12" s="33" t="n">
        <f aca="false">SUM(N6:N11)</f>
        <v>13497.0362666667</v>
      </c>
      <c r="O12" s="33" t="n">
        <f aca="false">SUM(O6:O11)</f>
        <v>-2636.62373333337</v>
      </c>
      <c r="P12" s="33" t="n">
        <f aca="false">SUM(D12:O12)</f>
        <v>85663.9690666666</v>
      </c>
    </row>
    <row r="14" customFormat="false" ht="15" hidden="false" customHeight="false" outlineLevel="0" collapsed="false">
      <c r="A14" s="26"/>
      <c r="B14" s="27" t="s">
        <v>230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20"/>
      <c r="B15" s="8" t="s">
        <v>231</v>
      </c>
      <c r="D15" s="29" t="n">
        <f aca="false">-(Balance!D9-Balance!C9)</f>
        <v>-3000</v>
      </c>
      <c r="E15" s="29" t="n">
        <f aca="false">-(Balance!E9-Balance!D9)</f>
        <v>-3000</v>
      </c>
      <c r="F15" s="29" t="n">
        <f aca="false">-(Balance!F9-Balance!E9)</f>
        <v>-3000</v>
      </c>
      <c r="G15" s="29" t="n">
        <f aca="false">-(Balance!G9-Balance!F9)</f>
        <v>-3000</v>
      </c>
      <c r="H15" s="29" t="n">
        <f aca="false">-(Balance!H9-Balance!G9)</f>
        <v>-3000</v>
      </c>
      <c r="I15" s="29" t="n">
        <f aca="false">-(Balance!I9-Balance!H9)</f>
        <v>-3000</v>
      </c>
      <c r="J15" s="29" t="n">
        <f aca="false">-(Balance!J9-Balance!I9)</f>
        <v>-3000</v>
      </c>
      <c r="K15" s="29" t="n">
        <f aca="false">-(Balance!K9-Balance!J9)</f>
        <v>-3000</v>
      </c>
      <c r="L15" s="29" t="n">
        <f aca="false">-(Balance!L9-Balance!K9)</f>
        <v>-3000</v>
      </c>
      <c r="M15" s="29" t="n">
        <f aca="false">-(Balance!M9-Balance!L9)</f>
        <v>-3000</v>
      </c>
      <c r="N15" s="29" t="n">
        <f aca="false">-(Balance!N9-Balance!M9)</f>
        <v>-3000</v>
      </c>
      <c r="O15" s="29" t="n">
        <f aca="false">-(Balance!O9-Balance!N9)</f>
        <v>-3000</v>
      </c>
      <c r="P15" s="30" t="n">
        <f aca="false">SUM(D15:O15)</f>
        <v>-36000</v>
      </c>
    </row>
    <row r="16" customFormat="false" ht="15" hidden="false" customHeight="false" outlineLevel="0" collapsed="false">
      <c r="A16" s="20"/>
      <c r="B16" s="31" t="s">
        <v>232</v>
      </c>
      <c r="C16" s="32"/>
      <c r="D16" s="33" t="n">
        <f aca="false">D15</f>
        <v>-3000</v>
      </c>
      <c r="E16" s="33" t="n">
        <f aca="false">E15</f>
        <v>-3000</v>
      </c>
      <c r="F16" s="33" t="n">
        <f aca="false">F15</f>
        <v>-3000</v>
      </c>
      <c r="G16" s="33" t="n">
        <f aca="false">G15</f>
        <v>-3000</v>
      </c>
      <c r="H16" s="33" t="n">
        <f aca="false">H15</f>
        <v>-3000</v>
      </c>
      <c r="I16" s="33" t="n">
        <f aca="false">I15</f>
        <v>-3000</v>
      </c>
      <c r="J16" s="33" t="n">
        <f aca="false">J15</f>
        <v>-3000</v>
      </c>
      <c r="K16" s="33" t="n">
        <f aca="false">K15</f>
        <v>-3000</v>
      </c>
      <c r="L16" s="33" t="n">
        <f aca="false">L15</f>
        <v>-3000</v>
      </c>
      <c r="M16" s="33" t="n">
        <f aca="false">M15</f>
        <v>-3000</v>
      </c>
      <c r="N16" s="33" t="n">
        <f aca="false">N15</f>
        <v>-3000</v>
      </c>
      <c r="O16" s="33" t="n">
        <f aca="false">O15</f>
        <v>-3000</v>
      </c>
      <c r="P16" s="33" t="n">
        <f aca="false">SUM(D16:O16)</f>
        <v>-36000</v>
      </c>
    </row>
    <row r="18" customFormat="false" ht="15" hidden="false" customHeight="false" outlineLevel="0" collapsed="false">
      <c r="A18" s="26"/>
      <c r="B18" s="27" t="s">
        <v>233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Format="false" ht="15" hidden="false" customHeight="false" outlineLevel="0" collapsed="false">
      <c r="A19" s="20"/>
      <c r="B19" s="8" t="s">
        <v>234</v>
      </c>
      <c r="D19" s="29" t="n">
        <f aca="false">(Balance!D14-Balance!C14)</f>
        <v>-1000</v>
      </c>
      <c r="E19" s="29" t="n">
        <f aca="false">(Balance!E14-Balance!D14)</f>
        <v>-1000</v>
      </c>
      <c r="F19" s="29" t="n">
        <f aca="false">(Balance!F14-Balance!E14)</f>
        <v>-1000</v>
      </c>
      <c r="G19" s="29" t="n">
        <f aca="false">(Balance!G14-Balance!F14)</f>
        <v>-1000</v>
      </c>
      <c r="H19" s="29" t="n">
        <f aca="false">(Balance!H14-Balance!G14)</f>
        <v>-1000</v>
      </c>
      <c r="I19" s="29" t="n">
        <f aca="false">(Balance!I14-Balance!H14)</f>
        <v>-1000</v>
      </c>
      <c r="J19" s="29" t="n">
        <f aca="false">(Balance!J14-Balance!I14)</f>
        <v>-1000</v>
      </c>
      <c r="K19" s="29" t="n">
        <f aca="false">(Balance!K14-Balance!J14)</f>
        <v>-1000</v>
      </c>
      <c r="L19" s="29" t="n">
        <f aca="false">(Balance!L14-Balance!K14)</f>
        <v>-1000</v>
      </c>
      <c r="M19" s="29" t="n">
        <f aca="false">(Balance!M14-Balance!L14)</f>
        <v>-1000</v>
      </c>
      <c r="N19" s="29" t="n">
        <f aca="false">(Balance!N14-Balance!M14)</f>
        <v>-1000</v>
      </c>
      <c r="O19" s="29" t="n">
        <f aca="false">(Balance!O14-Balance!N14)</f>
        <v>-1000</v>
      </c>
      <c r="P19" s="30" t="n">
        <f aca="false">SUM(D19:O19)</f>
        <v>-12000</v>
      </c>
    </row>
    <row r="20" customFormat="false" ht="15" hidden="false" customHeight="false" outlineLevel="0" collapsed="false">
      <c r="A20" s="20"/>
      <c r="B20" s="31" t="s">
        <v>235</v>
      </c>
      <c r="C20" s="32"/>
      <c r="D20" s="33" t="n">
        <f aca="false">D19</f>
        <v>-1000</v>
      </c>
      <c r="E20" s="33" t="n">
        <f aca="false">E19</f>
        <v>-1000</v>
      </c>
      <c r="F20" s="33" t="n">
        <f aca="false">F19</f>
        <v>-1000</v>
      </c>
      <c r="G20" s="33" t="n">
        <f aca="false">G19</f>
        <v>-1000</v>
      </c>
      <c r="H20" s="33" t="n">
        <f aca="false">H19</f>
        <v>-1000</v>
      </c>
      <c r="I20" s="33" t="n">
        <f aca="false">I19</f>
        <v>-1000</v>
      </c>
      <c r="J20" s="33" t="n">
        <f aca="false">J19</f>
        <v>-1000</v>
      </c>
      <c r="K20" s="33" t="n">
        <f aca="false">K19</f>
        <v>-1000</v>
      </c>
      <c r="L20" s="33" t="n">
        <f aca="false">L19</f>
        <v>-1000</v>
      </c>
      <c r="M20" s="33" t="n">
        <f aca="false">M19</f>
        <v>-1000</v>
      </c>
      <c r="N20" s="33" t="n">
        <f aca="false">N19</f>
        <v>-1000</v>
      </c>
      <c r="O20" s="33" t="n">
        <f aca="false">O19</f>
        <v>-1000</v>
      </c>
      <c r="P20" s="33" t="n">
        <f aca="false">SUM(D20:O20)</f>
        <v>-12000</v>
      </c>
    </row>
    <row r="22" customFormat="false" ht="15" hidden="false" customHeight="false" outlineLevel="0" collapsed="false">
      <c r="A22" s="20"/>
      <c r="B22" s="31" t="s">
        <v>236</v>
      </c>
      <c r="C22" s="32"/>
      <c r="D22" s="33" t="n">
        <f aca="false">D12+D16+D20</f>
        <v>19488.2226666667</v>
      </c>
      <c r="E22" s="33" t="n">
        <f aca="false">E12+E16+E20</f>
        <v>-2196.64266666667</v>
      </c>
      <c r="F22" s="33" t="n">
        <f aca="false">F12+F16+F20</f>
        <v>-7794.17933333333</v>
      </c>
      <c r="G22" s="33" t="n">
        <f aca="false">G12+G16+G20</f>
        <v>6814.91599999999</v>
      </c>
      <c r="H22" s="33" t="n">
        <f aca="false">H12+H16+H20</f>
        <v>-277.723333333335</v>
      </c>
      <c r="I22" s="33" t="n">
        <f aca="false">I12+I16+I20</f>
        <v>2516.64066666667</v>
      </c>
      <c r="J22" s="33" t="n">
        <f aca="false">J12+J16+J20</f>
        <v>6885.06119999999</v>
      </c>
      <c r="K22" s="33" t="n">
        <f aca="false">K12+K16+K20</f>
        <v>1585.60266666666</v>
      </c>
      <c r="L22" s="33" t="n">
        <f aca="false">L12+L16+L20</f>
        <v>3405.26213333333</v>
      </c>
      <c r="M22" s="33" t="n">
        <f aca="false">M12+M16+M20</f>
        <v>4376.39653333334</v>
      </c>
      <c r="N22" s="33" t="n">
        <f aca="false">N12+N16+N20</f>
        <v>9497.03626666666</v>
      </c>
      <c r="O22" s="33" t="n">
        <f aca="false">O12+O16+O20</f>
        <v>-6636.62373333337</v>
      </c>
      <c r="P22" s="33" t="n">
        <f aca="false">SUM(D22:O22)</f>
        <v>37663.9690666666</v>
      </c>
    </row>
    <row r="23" customFormat="false" ht="15" hidden="false" customHeight="false" outlineLevel="0" collapsed="false">
      <c r="A23" s="20"/>
      <c r="B23" s="8" t="s">
        <v>237</v>
      </c>
      <c r="D23" s="34" t="n">
        <f aca="false">Supuestos!$B$18</f>
        <v>25000</v>
      </c>
      <c r="E23" s="34" t="n">
        <f aca="false">D24</f>
        <v>44488.2226666667</v>
      </c>
      <c r="F23" s="34" t="n">
        <f aca="false">E24</f>
        <v>42291.58</v>
      </c>
      <c r="G23" s="34" t="n">
        <f aca="false">F24</f>
        <v>34497.4006666667</v>
      </c>
      <c r="H23" s="34" t="n">
        <f aca="false">G24</f>
        <v>41312.3166666666</v>
      </c>
      <c r="I23" s="34" t="n">
        <f aca="false">H24</f>
        <v>41034.5933333333</v>
      </c>
      <c r="J23" s="34" t="n">
        <f aca="false">I24</f>
        <v>43551.234</v>
      </c>
      <c r="K23" s="34" t="n">
        <f aca="false">J24</f>
        <v>50436.2952</v>
      </c>
      <c r="L23" s="34" t="n">
        <f aca="false">K24</f>
        <v>52021.8978666666</v>
      </c>
      <c r="M23" s="34" t="n">
        <f aca="false">L24</f>
        <v>55427.16</v>
      </c>
      <c r="N23" s="34" t="n">
        <f aca="false">M24</f>
        <v>59803.5565333333</v>
      </c>
      <c r="O23" s="34" t="n">
        <f aca="false">N24</f>
        <v>69300.5928</v>
      </c>
      <c r="P23" s="30" t="n">
        <f aca="false">D23</f>
        <v>25000</v>
      </c>
    </row>
    <row r="24" customFormat="false" ht="15" hidden="false" customHeight="false" outlineLevel="0" collapsed="false">
      <c r="A24" s="20"/>
      <c r="B24" s="37" t="s">
        <v>238</v>
      </c>
      <c r="C24" s="38"/>
      <c r="D24" s="39" t="n">
        <f aca="false">D23+D22</f>
        <v>44488.2226666667</v>
      </c>
      <c r="E24" s="39" t="n">
        <f aca="false">E23+E22</f>
        <v>42291.58</v>
      </c>
      <c r="F24" s="39" t="n">
        <f aca="false">F23+F22</f>
        <v>34497.4006666667</v>
      </c>
      <c r="G24" s="39" t="n">
        <f aca="false">G23+G22</f>
        <v>41312.3166666666</v>
      </c>
      <c r="H24" s="39" t="n">
        <f aca="false">H23+H22</f>
        <v>41034.5933333333</v>
      </c>
      <c r="I24" s="39" t="n">
        <f aca="false">I23+I22</f>
        <v>43551.234</v>
      </c>
      <c r="J24" s="39" t="n">
        <f aca="false">J23+J22</f>
        <v>50436.2952</v>
      </c>
      <c r="K24" s="39" t="n">
        <f aca="false">K23+K22</f>
        <v>52021.8978666666</v>
      </c>
      <c r="L24" s="39" t="n">
        <f aca="false">L23+L22</f>
        <v>55427.16</v>
      </c>
      <c r="M24" s="39" t="n">
        <f aca="false">M23+M22</f>
        <v>59803.5565333333</v>
      </c>
      <c r="N24" s="39" t="n">
        <f aca="false">N23+N22</f>
        <v>69300.5928</v>
      </c>
      <c r="O24" s="39" t="n">
        <f aca="false">O23+O22</f>
        <v>62663.9690666666</v>
      </c>
      <c r="P24" s="39" t="n">
        <f aca="false">O24</f>
        <v>62663.9690666666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" t="s">
        <v>239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240</v>
      </c>
    </row>
    <row r="4" customFormat="false" ht="30" hidden="false" customHeight="true" outlineLevel="0" collapsed="false">
      <c r="A4" s="14" t="s">
        <v>241</v>
      </c>
      <c r="B4" s="14" t="s">
        <v>242</v>
      </c>
      <c r="C4" s="14" t="s">
        <v>243</v>
      </c>
    </row>
    <row r="5" customFormat="false" ht="15" hidden="false" customHeight="false" outlineLevel="0" collapsed="false">
      <c r="A5" s="8" t="s">
        <v>244</v>
      </c>
      <c r="B5" s="43" t="n">
        <v>1000000</v>
      </c>
      <c r="C5" s="3" t="s">
        <v>245</v>
      </c>
    </row>
    <row r="6" customFormat="false" ht="15" hidden="false" customHeight="false" outlineLevel="0" collapsed="false">
      <c r="A6" s="8" t="s">
        <v>246</v>
      </c>
      <c r="B6" s="44" t="n">
        <v>0.68</v>
      </c>
      <c r="C6" s="3" t="s">
        <v>247</v>
      </c>
    </row>
    <row r="7" customFormat="false" ht="15" hidden="false" customHeight="false" outlineLevel="0" collapsed="false">
      <c r="A7" s="8" t="s">
        <v>248</v>
      </c>
      <c r="B7" s="44" t="n">
        <v>0.35</v>
      </c>
      <c r="C7" s="3" t="s">
        <v>249</v>
      </c>
    </row>
    <row r="8" customFormat="false" ht="15" hidden="false" customHeight="false" outlineLevel="0" collapsed="false">
      <c r="A8" s="8" t="s">
        <v>250</v>
      </c>
      <c r="B8" s="45" t="n">
        <v>45</v>
      </c>
    </row>
    <row r="9" customFormat="false" ht="15" hidden="false" customHeight="false" outlineLevel="0" collapsed="false">
      <c r="A9" s="8" t="s">
        <v>251</v>
      </c>
      <c r="B9" s="45" t="n">
        <v>60</v>
      </c>
    </row>
    <row r="10" customFormat="false" ht="15" hidden="false" customHeight="false" outlineLevel="0" collapsed="false">
      <c r="A10" s="8" t="s">
        <v>252</v>
      </c>
      <c r="B10" s="45" t="n">
        <v>50</v>
      </c>
    </row>
    <row r="11" customFormat="false" ht="15" hidden="false" customHeight="false" outlineLevel="0" collapsed="false">
      <c r="A11" s="8" t="s">
        <v>253</v>
      </c>
      <c r="B11" s="43" t="n">
        <v>3000</v>
      </c>
    </row>
    <row r="12" customFormat="false" ht="15" hidden="false" customHeight="false" outlineLevel="0" collapsed="false">
      <c r="A12" s="8" t="s">
        <v>254</v>
      </c>
      <c r="B12" s="45" t="n">
        <v>10</v>
      </c>
      <c r="C12" s="3" t="s">
        <v>255</v>
      </c>
    </row>
    <row r="13" customFormat="false" ht="15" hidden="false" customHeight="false" outlineLevel="0" collapsed="false">
      <c r="A13" s="8" t="s">
        <v>256</v>
      </c>
      <c r="B13" s="44" t="n">
        <v>0.12</v>
      </c>
    </row>
    <row r="14" customFormat="false" ht="15" hidden="false" customHeight="false" outlineLevel="0" collapsed="false">
      <c r="A14" s="8" t="s">
        <v>257</v>
      </c>
      <c r="B14" s="43" t="n">
        <v>1000</v>
      </c>
    </row>
    <row r="16" customFormat="false" ht="15" hidden="false" customHeight="false" outlineLevel="0" collapsed="false">
      <c r="A16" s="11" t="s">
        <v>258</v>
      </c>
    </row>
    <row r="17" customFormat="false" ht="30" hidden="false" customHeight="true" outlineLevel="0" collapsed="false">
      <c r="A17" s="14" t="s">
        <v>259</v>
      </c>
      <c r="B17" s="14" t="s">
        <v>260</v>
      </c>
      <c r="C17" s="14" t="s">
        <v>243</v>
      </c>
    </row>
    <row r="18" customFormat="false" ht="15" hidden="false" customHeight="false" outlineLevel="0" collapsed="false">
      <c r="A18" s="8" t="s">
        <v>143</v>
      </c>
      <c r="B18" s="46" t="n">
        <v>25000</v>
      </c>
    </row>
    <row r="19" customFormat="false" ht="15" hidden="false" customHeight="false" outlineLevel="0" collapsed="false">
      <c r="A19" s="8" t="s">
        <v>146</v>
      </c>
      <c r="B19" s="46" t="n">
        <v>98000</v>
      </c>
    </row>
    <row r="20" customFormat="false" ht="15" hidden="false" customHeight="false" outlineLevel="0" collapsed="false">
      <c r="A20" s="8" t="s">
        <v>148</v>
      </c>
      <c r="B20" s="46" t="n">
        <v>76000</v>
      </c>
    </row>
    <row r="21" customFormat="false" ht="15" hidden="false" customHeight="false" outlineLevel="0" collapsed="false">
      <c r="A21" s="8" t="s">
        <v>150</v>
      </c>
      <c r="B21" s="46" t="n">
        <v>420000</v>
      </c>
    </row>
    <row r="22" customFormat="false" ht="15" hidden="false" customHeight="false" outlineLevel="0" collapsed="false">
      <c r="A22" s="8" t="s">
        <v>261</v>
      </c>
      <c r="B22" s="46" t="n">
        <v>-150000</v>
      </c>
    </row>
    <row r="23" customFormat="false" ht="15" hidden="false" customHeight="false" outlineLevel="0" collapsed="false">
      <c r="A23" s="8" t="s">
        <v>154</v>
      </c>
      <c r="B23" s="46" t="n">
        <v>180000</v>
      </c>
    </row>
    <row r="24" customFormat="false" ht="15" hidden="false" customHeight="false" outlineLevel="0" collapsed="false">
      <c r="A24" s="8" t="s">
        <v>157</v>
      </c>
      <c r="B24" s="46" t="n">
        <v>63000</v>
      </c>
    </row>
    <row r="25" customFormat="false" ht="15" hidden="false" customHeight="false" outlineLevel="0" collapsed="false">
      <c r="A25" s="8" t="s">
        <v>159</v>
      </c>
      <c r="B25" s="46" t="n">
        <v>0</v>
      </c>
    </row>
    <row r="26" customFormat="false" ht="15" hidden="false" customHeight="false" outlineLevel="0" collapsed="false">
      <c r="A26" s="8" t="s">
        <v>161</v>
      </c>
      <c r="B26" s="46" t="n">
        <v>200000</v>
      </c>
    </row>
    <row r="27" customFormat="false" ht="15" hidden="false" customHeight="false" outlineLevel="0" collapsed="false">
      <c r="A27" s="8" t="s">
        <v>262</v>
      </c>
      <c r="B27" s="47" t="n">
        <f aca="false">Supuestos!$B$18+Supuestos!$B$19+Supuestos!$B$20+Supuestos!$B$21+Supuestos!$B$22-Supuestos!$B$23-Supuestos!$B$24-Supuestos!$B$25-Supuestos!$B$26</f>
        <v>26000</v>
      </c>
      <c r="C27" s="3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6"/>
    <pageSetUpPr fitToPage="tru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24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3"/>
    <col collapsed="false" customWidth="true" hidden="false" outlineLevel="0" max="12" min="12" style="0" width="26"/>
    <col collapsed="false" customWidth="true" hidden="false" outlineLevel="0" max="13" min="13" style="0" width="34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265</v>
      </c>
    </row>
    <row r="4" customFormat="false" ht="30" hidden="false" customHeight="true" outlineLevel="0" collapsed="false">
      <c r="A4" s="14" t="s">
        <v>70</v>
      </c>
      <c r="B4" s="14" t="s">
        <v>71</v>
      </c>
      <c r="C4" s="14" t="s">
        <v>116</v>
      </c>
      <c r="D4" s="14" t="s">
        <v>74</v>
      </c>
      <c r="E4" s="14" t="s">
        <v>66</v>
      </c>
      <c r="F4" s="14" t="s">
        <v>64</v>
      </c>
      <c r="H4" s="14" t="s">
        <v>117</v>
      </c>
      <c r="I4" s="14" t="s">
        <v>140</v>
      </c>
      <c r="J4" s="14" t="s">
        <v>266</v>
      </c>
      <c r="L4" s="14" t="s">
        <v>139</v>
      </c>
      <c r="M4" s="14" t="s">
        <v>140</v>
      </c>
      <c r="N4" s="14" t="s">
        <v>141</v>
      </c>
    </row>
    <row r="5" customFormat="false" ht="15" hidden="false" customHeight="false" outlineLevel="0" collapsed="false">
      <c r="A5" s="48" t="s">
        <v>24</v>
      </c>
      <c r="B5" s="48" t="s">
        <v>88</v>
      </c>
      <c r="C5" s="48" t="s">
        <v>119</v>
      </c>
      <c r="D5" s="48" t="s">
        <v>91</v>
      </c>
      <c r="E5" s="48" t="s">
        <v>67</v>
      </c>
      <c r="F5" s="48" t="s">
        <v>65</v>
      </c>
      <c r="H5" s="48" t="s">
        <v>120</v>
      </c>
      <c r="I5" s="48" t="s">
        <v>267</v>
      </c>
      <c r="J5" s="48" t="s">
        <v>197</v>
      </c>
      <c r="L5" s="48" t="s">
        <v>142</v>
      </c>
      <c r="M5" s="48" t="s">
        <v>143</v>
      </c>
      <c r="N5" s="48" t="s">
        <v>144</v>
      </c>
    </row>
    <row r="6" customFormat="false" ht="15" hidden="false" customHeight="false" outlineLevel="0" collapsed="false">
      <c r="A6" s="48" t="s">
        <v>96</v>
      </c>
      <c r="B6" s="48" t="s">
        <v>97</v>
      </c>
      <c r="C6" s="48" t="s">
        <v>127</v>
      </c>
      <c r="D6" s="48" t="s">
        <v>92</v>
      </c>
      <c r="E6" s="48" t="s">
        <v>268</v>
      </c>
      <c r="F6" s="48" t="s">
        <v>269</v>
      </c>
      <c r="H6" s="48" t="s">
        <v>128</v>
      </c>
      <c r="I6" s="48" t="s">
        <v>270</v>
      </c>
      <c r="J6" s="48" t="s">
        <v>197</v>
      </c>
      <c r="L6" s="48" t="s">
        <v>145</v>
      </c>
      <c r="M6" s="48" t="s">
        <v>146</v>
      </c>
      <c r="N6" s="48" t="s">
        <v>144</v>
      </c>
    </row>
    <row r="7" customFormat="false" ht="15" hidden="false" customHeight="false" outlineLevel="0" collapsed="false">
      <c r="A7" s="48" t="s">
        <v>102</v>
      </c>
      <c r="B7" s="48" t="s">
        <v>103</v>
      </c>
      <c r="C7" s="48" t="s">
        <v>122</v>
      </c>
      <c r="D7" s="48" t="s">
        <v>93</v>
      </c>
      <c r="E7" s="48" t="s">
        <v>138</v>
      </c>
      <c r="F7" s="48" t="s">
        <v>271</v>
      </c>
      <c r="H7" s="48" t="s">
        <v>129</v>
      </c>
      <c r="I7" s="48" t="s">
        <v>272</v>
      </c>
      <c r="J7" s="48" t="s">
        <v>197</v>
      </c>
      <c r="L7" s="48" t="s">
        <v>147</v>
      </c>
      <c r="M7" s="48" t="s">
        <v>148</v>
      </c>
      <c r="N7" s="48" t="s">
        <v>144</v>
      </c>
    </row>
    <row r="8" customFormat="false" ht="15" hidden="false" customHeight="false" outlineLevel="0" collapsed="false">
      <c r="B8" s="48" t="s">
        <v>130</v>
      </c>
      <c r="C8" s="48" t="s">
        <v>125</v>
      </c>
      <c r="H8" s="48" t="s">
        <v>121</v>
      </c>
      <c r="I8" s="48" t="s">
        <v>273</v>
      </c>
      <c r="J8" s="48" t="s">
        <v>197</v>
      </c>
      <c r="L8" s="48" t="s">
        <v>149</v>
      </c>
      <c r="M8" s="48" t="s">
        <v>150</v>
      </c>
      <c r="N8" s="48" t="s">
        <v>144</v>
      </c>
    </row>
    <row r="9" customFormat="false" ht="15" hidden="false" customHeight="false" outlineLevel="0" collapsed="false">
      <c r="H9" s="48" t="s">
        <v>123</v>
      </c>
      <c r="I9" s="48" t="s">
        <v>274</v>
      </c>
      <c r="J9" s="48" t="s">
        <v>199</v>
      </c>
      <c r="L9" s="48" t="s">
        <v>151</v>
      </c>
      <c r="M9" s="48" t="s">
        <v>152</v>
      </c>
      <c r="N9" s="48" t="s">
        <v>144</v>
      </c>
    </row>
    <row r="10" customFormat="false" ht="15" hidden="false" customHeight="false" outlineLevel="0" collapsed="false">
      <c r="H10" s="48" t="s">
        <v>124</v>
      </c>
      <c r="I10" s="48" t="s">
        <v>275</v>
      </c>
      <c r="J10" s="48" t="s">
        <v>199</v>
      </c>
      <c r="L10" s="48" t="s">
        <v>153</v>
      </c>
      <c r="M10" s="48" t="s">
        <v>154</v>
      </c>
      <c r="N10" s="48" t="s">
        <v>155</v>
      </c>
    </row>
    <row r="11" customFormat="false" ht="15" hidden="false" customHeight="false" outlineLevel="0" collapsed="false">
      <c r="H11" s="48" t="s">
        <v>126</v>
      </c>
      <c r="I11" s="48" t="s">
        <v>276</v>
      </c>
      <c r="J11" s="48" t="s">
        <v>199</v>
      </c>
      <c r="L11" s="48" t="s">
        <v>156</v>
      </c>
      <c r="M11" s="48" t="s">
        <v>157</v>
      </c>
      <c r="N11" s="48" t="s">
        <v>155</v>
      </c>
    </row>
    <row r="12" customFormat="false" ht="15" hidden="false" customHeight="false" outlineLevel="0" collapsed="false">
      <c r="L12" s="48" t="s">
        <v>158</v>
      </c>
      <c r="M12" s="48" t="s">
        <v>159</v>
      </c>
      <c r="N12" s="48" t="s">
        <v>155</v>
      </c>
    </row>
    <row r="13" customFormat="false" ht="15" hidden="false" customHeight="false" outlineLevel="0" collapsed="false">
      <c r="L13" s="48" t="s">
        <v>160</v>
      </c>
      <c r="M13" s="48" t="s">
        <v>161</v>
      </c>
      <c r="N13" s="48" t="s">
        <v>162</v>
      </c>
    </row>
    <row r="14" customFormat="false" ht="15" hidden="false" customHeight="false" outlineLevel="0" collapsed="false">
      <c r="L14" s="48" t="s">
        <v>163</v>
      </c>
      <c r="M14" s="48" t="s">
        <v>164</v>
      </c>
      <c r="N14" s="48" t="s">
        <v>162</v>
      </c>
    </row>
    <row r="15" customFormat="false" ht="15" hidden="false" customHeight="false" outlineLevel="0" collapsed="false">
      <c r="L15" s="48" t="s">
        <v>165</v>
      </c>
      <c r="M15" s="48" t="s">
        <v>166</v>
      </c>
      <c r="N15" s="4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2026-10-07T11:23:13Z</dcterms:created>
  <dc:creator>openpyxl</dc:creator>
  <dc:description/>
  <dc:language>en-US</dc:language>
  <cp:lastModifiedBy/>
  <dcterms:modified xsi:type="dcterms:W3CDTF">2026-10-07T11:23:13Z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