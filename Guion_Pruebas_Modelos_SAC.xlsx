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Listas" sheetId="3" state="hidden" r:id="rId3"/>
    <sheet name="Casos de Prueba" sheetId="4" state="visible" r:id="rId4"/>
    <sheet name="Defectos" sheetId="5" state="visible" r:id="rId5"/>
  </sheets>
  <definedNames>
    <definedName name="_xlnm._FilterDatabase" localSheetId="3" hidden="1">'Casos de Prueba'!$A$2:$M$40</definedName>
    <definedName name="_xlnm._FilterDatabase" localSheetId="4" hidden="1">'Defectos'!$A$2:$H$17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sz val="9"/>
    </font>
    <font>
      <sz val="9.5"/>
    </font>
    <font>
      <b val="1"/>
      <color rgb="00595959"/>
      <sz val="9"/>
    </font>
    <font>
      <b val="1"/>
      <color rgb="00006100"/>
      <sz val="9"/>
    </font>
    <font>
      <b val="1"/>
      <color rgb="009C0006"/>
      <sz val="9"/>
    </font>
    <font>
      <b val="1"/>
      <color rgb="007F6000"/>
      <sz val="9"/>
    </font>
    <font>
      <b val="1"/>
      <color rgb="001F3864"/>
      <sz val="9"/>
    </font>
    <font>
      <sz val="9.300000000000001"/>
    </font>
    <font>
      <b val="1"/>
      <color rgb="001F3864"/>
      <sz val="15"/>
    </font>
    <font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9" fontId="12" fillId="8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color rgb="00595959"/>
      </font>
      <fill>
        <patternFill patternType="solid">
          <fgColor rgb="00EDEDED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E699"/>
        </patternFill>
      </fill>
    </dxf>
    <dxf>
      <font>
        <color rgb="001F3864"/>
      </font>
      <fill>
        <patternFill patternType="solid">
          <fgColor rgb="00DDEBF7"/>
        </patternFill>
      </fill>
    </dxf>
    <dxf>
      <font>
        <color rgb="00833C00"/>
      </font>
      <fill>
        <patternFill patternType="solid">
          <fgColor rgb="00FCE4D6"/>
        </patternFill>
      </fill>
    </dxf>
    <dxf>
      <font>
        <color rgb="007F60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Casos por estado</a:t>
            </a:r>
          </a:p>
        </rich>
      </tx>
    </title>
    <plotArea>
      <pieChart>
        <varyColors val="1"/>
        <ser>
          <idx val="0"/>
          <order val="0"/>
          <tx>
            <strRef>
              <f>'Resumen'!E4</f>
            </strRef>
          </tx>
          <spPr>
            <a:ln>
              <a:prstDash val="solid"/>
            </a:ln>
          </spPr>
          <cat>
            <numRef>
              <f>'Resumen'!$D$5:$D$9</f>
            </numRef>
          </cat>
          <val>
            <numRef>
              <f>'Resumen'!$E$5:$E$9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Casos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'Resumen'!B11</f>
            </strRef>
          </tx>
          <spPr>
            <a:ln>
              <a:prstDash val="solid"/>
            </a:ln>
          </spPr>
          <cat>
            <numRef>
              <f>'Resumen'!$A$12:$A$21</f>
            </numRef>
          </cat>
          <val>
            <numRef>
              <f>'Resumen'!$B$12:$B$21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342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 ht="26" customHeight="1">
      <c r="A1" s="1" t="inlineStr">
        <is>
          <t>GUION DE PRUEBAS — MODELOS DE SAP ANALYTICS CLOUD (SAC)</t>
        </is>
      </c>
    </row>
    <row r="3">
      <c r="A3" s="2" t="inlineStr">
        <is>
          <t>Objetivo</t>
        </is>
      </c>
    </row>
    <row r="4" ht="30" customHeight="1">
      <c r="A4" s="3" t="inlineStr">
        <is>
          <t>Validar que los modelos de planeación de SAC (Ingresos, Costos y Gastos y Estados Financieros) funcionan correctamente en datos, cálculos, versiones, seguridad y reportes, antes de su puesta en productivo.</t>
        </is>
      </c>
    </row>
    <row r="6">
      <c r="A6" s="2" t="inlineStr">
        <is>
          <t>Alcance</t>
        </is>
      </c>
    </row>
    <row r="7" ht="30" customHeight="1">
      <c r="A7" s="3" t="inlineStr">
        <is>
          <t>Aplica a los tres modelos de las sociedades del programa. Cubre pruebas de datos maestros, integración, Data Actions, versiones/escenarios, entrada de datos, seguridad (DAC), reportes, conciliación y rendimiento.</t>
        </is>
      </c>
    </row>
    <row r="9">
      <c r="A9" s="2" t="inlineStr">
        <is>
          <t>Cómo usar</t>
        </is>
      </c>
    </row>
    <row r="10" ht="30" customHeight="1">
      <c r="A10" s="3" t="inlineStr">
        <is>
          <t>Ejecute cada caso de la hoja «Casos de Prueba», registre el Estado (Pendiente/Aprobado/Fallido/Bloqueado/No aplica), el resultado obtenido, el tester, la fecha y la evidencia. Los fallos se registran en la hoja «Defectos». La hoja «Resumen» muestra el avance automáticamente.</t>
        </is>
      </c>
    </row>
    <row r="13">
      <c r="A13" s="2" t="inlineStr">
        <is>
          <t>Leyenda de estados</t>
        </is>
      </c>
    </row>
    <row r="14">
      <c r="A14" s="4" t="inlineStr">
        <is>
          <t>Pendiente</t>
        </is>
      </c>
      <c r="B14" s="5" t="inlineStr">
        <is>
          <t>Aprobado</t>
        </is>
      </c>
      <c r="C14" s="6" t="inlineStr">
        <is>
          <t>Fallido</t>
        </is>
      </c>
      <c r="D14" s="7" t="inlineStr">
        <is>
          <t>Bloqueado</t>
        </is>
      </c>
      <c r="E14" s="8" t="inlineStr">
        <is>
          <t>No aplica</t>
        </is>
      </c>
    </row>
    <row r="16">
      <c r="A16" s="2" t="inlineStr">
        <is>
          <t>Buenas prácticas de SAP consideradas</t>
        </is>
      </c>
    </row>
    <row r="17">
      <c r="A17" s="9" t="inlineStr">
        <is>
          <t>•  Ejecutar las pruebas en un tenant/entorno de prueba, nunca en productivo.</t>
        </is>
      </c>
    </row>
    <row r="18">
      <c r="A18" s="9" t="inlineStr">
        <is>
          <t>•  Validar la integridad de datos maestros y jerarquías antes de probar cálculos.</t>
        </is>
      </c>
    </row>
    <row r="19">
      <c r="A19" s="9" t="inlineStr">
        <is>
          <t>•  Usar versiones privadas para probar Data Actions y publicar solo lo aprobado.</t>
        </is>
      </c>
    </row>
    <row r="20">
      <c r="A20" s="9" t="inlineStr">
        <is>
          <t>•  Comparar cada Data Action contra un cálculo manual o un valor esperado conocido.</t>
        </is>
      </c>
    </row>
    <row r="21">
      <c r="A21" s="9" t="inlineStr">
        <is>
          <t>•  Conciliar los datos importados contra la fuente (DataSphere / ERP / Silotrans).</t>
        </is>
      </c>
    </row>
    <row r="22">
      <c r="A22" s="9" t="inlineStr">
        <is>
          <t>•  Probar la seguridad con usuarios de distintos roles e incluir pruebas negativas (DAC).</t>
        </is>
      </c>
    </row>
    <row r="23">
      <c r="A23" s="9" t="inlineStr">
        <is>
          <t>•  Verificar la gestión de versiones: copia, publicación y bloqueo de datos (Data Locking).</t>
        </is>
      </c>
    </row>
    <row r="24">
      <c r="A24" s="9" t="inlineStr">
        <is>
          <t>•  Medir el rendimiento de Data Actions y stories con volúmenes representativos.</t>
        </is>
      </c>
    </row>
    <row r="25">
      <c r="A25" s="9" t="inlineStr">
        <is>
          <t>•  Documentar evidencia (capturas) y registrar cada fallo como defecto con su severidad.</t>
        </is>
      </c>
    </row>
    <row r="26">
      <c r="A26" s="9" t="inlineStr">
        <is>
          <t>•  Mantener la trazabilidad requerimiento ↔ caso de prueba y ejecutar regresión tras cada cambio.</t>
        </is>
      </c>
    </row>
  </sheetData>
  <mergeCells count="17">
    <mergeCell ref="A24:F24"/>
    <mergeCell ref="A10:F10"/>
    <mergeCell ref="A19:F19"/>
    <mergeCell ref="A1:F1"/>
    <mergeCell ref="A23:F23"/>
    <mergeCell ref="A9:F9"/>
    <mergeCell ref="A26:F26"/>
    <mergeCell ref="A6:F6"/>
    <mergeCell ref="A22:F22"/>
    <mergeCell ref="A17:F17"/>
    <mergeCell ref="A18:F18"/>
    <mergeCell ref="A4:F4"/>
    <mergeCell ref="A3:F3"/>
    <mergeCell ref="A21:F21"/>
    <mergeCell ref="A20:F20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  <col width="12" customWidth="1" min="5" max="5"/>
    <col width="10" customWidth="1" min="6" max="6"/>
    <col width="3" customWidth="1" min="7" max="7"/>
  </cols>
  <sheetData>
    <row r="1" ht="26" customHeight="1">
      <c r="A1" s="1" t="inlineStr">
        <is>
          <t>RESUMEN DE EJECUCIÓN DE PRUEBAS</t>
        </is>
      </c>
    </row>
    <row r="3">
      <c r="A3" s="10" t="inlineStr">
        <is>
          <t>Total de casos</t>
        </is>
      </c>
      <c r="B3" s="11">
        <f>COUNTA('Casos de Prueba'!A3:A40)</f>
        <v/>
      </c>
      <c r="D3" s="2" t="inlineStr">
        <is>
          <t>Por estado</t>
        </is>
      </c>
    </row>
    <row r="4">
      <c r="A4" s="10" t="inlineStr">
        <is>
          <t>Ejecutados</t>
        </is>
      </c>
      <c r="B4" s="11">
        <f>COUNTIF('Casos de Prueba'!I3:I40,"&lt;&gt;Pendiente")-COUNTBLANK('Casos de Prueba'!I3:I40)</f>
        <v/>
      </c>
      <c r="D4" s="12" t="inlineStr">
        <is>
          <t>Estado</t>
        </is>
      </c>
      <c r="E4" s="12" t="inlineStr">
        <is>
          <t>Casos</t>
        </is>
      </c>
    </row>
    <row r="5">
      <c r="A5" s="10" t="inlineStr">
        <is>
          <t>Aprobados</t>
        </is>
      </c>
      <c r="B5" s="11">
        <f>COUNTIF('Casos de Prueba'!I3:I40,"Aprobado")</f>
        <v/>
      </c>
      <c r="D5" s="13" t="inlineStr">
        <is>
          <t>Pendiente</t>
        </is>
      </c>
      <c r="E5" s="14">
        <f>COUNTIF('Casos de Prueba'!I3:I40,"Pendiente")</f>
        <v/>
      </c>
    </row>
    <row r="6">
      <c r="A6" s="10" t="inlineStr">
        <is>
          <t>Fallidos</t>
        </is>
      </c>
      <c r="B6" s="11">
        <f>COUNTIF('Casos de Prueba'!I3:I40,"Fallido")</f>
        <v/>
      </c>
      <c r="D6" s="15" t="inlineStr">
        <is>
          <t>Aprobado</t>
        </is>
      </c>
      <c r="E6" s="14">
        <f>COUNTIF('Casos de Prueba'!I3:I40,"Aprobado")</f>
        <v/>
      </c>
    </row>
    <row r="7">
      <c r="A7" s="10" t="inlineStr">
        <is>
          <t>% ejecución</t>
        </is>
      </c>
      <c r="B7" s="16">
        <f>IFERROR((COUNTA('Casos de Prueba'!A3:A40)-COUNTIF('Casos de Prueba'!I3:I40,"Pendiente"))/COUNTA('Casos de Prueba'!A3:A40),0)</f>
        <v/>
      </c>
      <c r="D7" s="17" t="inlineStr">
        <is>
          <t>Fallido</t>
        </is>
      </c>
      <c r="E7" s="14">
        <f>COUNTIF('Casos de Prueba'!I3:I40,"Fallido")</f>
        <v/>
      </c>
    </row>
    <row r="8">
      <c r="A8" s="10" t="inlineStr">
        <is>
          <t>% aprobación</t>
        </is>
      </c>
      <c r="B8" s="16">
        <f>IFERROR(COUNTIF('Casos de Prueba'!I3:I40,"Aprobado")/COUNTA('Casos de Prueba'!A3:A40),0)</f>
        <v/>
      </c>
      <c r="D8" s="18" t="inlineStr">
        <is>
          <t>Bloqueado</t>
        </is>
      </c>
      <c r="E8" s="14">
        <f>COUNTIF('Casos de Prueba'!I3:I40,"Bloqueado")</f>
        <v/>
      </c>
    </row>
    <row r="9">
      <c r="D9" s="19" t="inlineStr">
        <is>
          <t>No aplica</t>
        </is>
      </c>
      <c r="E9" s="14">
        <f>COUNTIF('Casos de Prueba'!I3:I40,"No aplica")</f>
        <v/>
      </c>
    </row>
    <row r="10">
      <c r="A10" s="2" t="inlineStr">
        <is>
          <t>Por categoría</t>
        </is>
      </c>
    </row>
    <row r="11">
      <c r="A11" s="12" t="inlineStr">
        <is>
          <t>Categoría</t>
        </is>
      </c>
      <c r="B11" s="12" t="inlineStr">
        <is>
          <t>Casos</t>
        </is>
      </c>
      <c r="C11" s="12" t="inlineStr">
        <is>
          <t>Aprobados</t>
        </is>
      </c>
    </row>
    <row r="12">
      <c r="A12" s="20" t="inlineStr">
        <is>
          <t>Datos maestros y dimensiones</t>
        </is>
      </c>
      <c r="B12" s="14">
        <f>COUNTIF('Casos de Prueba'!C3:C40,"Datos maestros y dimensiones")</f>
        <v/>
      </c>
      <c r="C12" s="14">
        <f>COUNTIFS('Casos de Prueba'!C3:C40,"Datos maestros y dimensiones",'Casos de Prueba'!I3:I40,"Aprobado")</f>
        <v/>
      </c>
    </row>
    <row r="13">
      <c r="A13" s="20" t="inlineStr">
        <is>
          <t>Integración de datos</t>
        </is>
      </c>
      <c r="B13" s="14">
        <f>COUNTIF('Casos de Prueba'!C3:C40,"Integración de datos")</f>
        <v/>
      </c>
      <c r="C13" s="14">
        <f>COUNTIFS('Casos de Prueba'!C3:C40,"Integración de datos",'Casos de Prueba'!I3:I40,"Aprobado")</f>
        <v/>
      </c>
    </row>
    <row r="14">
      <c r="A14" s="20" t="inlineStr">
        <is>
          <t>Cálculos (Data Actions)</t>
        </is>
      </c>
      <c r="B14" s="14">
        <f>COUNTIF('Casos de Prueba'!C3:C40,"Cálculos (Data Actions)")</f>
        <v/>
      </c>
      <c r="C14" s="14">
        <f>COUNTIFS('Casos de Prueba'!C3:C40,"Cálculos (Data Actions)",'Casos de Prueba'!I3:I40,"Aprobado")</f>
        <v/>
      </c>
    </row>
    <row r="15">
      <c r="A15" s="20" t="inlineStr">
        <is>
          <t>Versiones y escenarios</t>
        </is>
      </c>
      <c r="B15" s="14">
        <f>COUNTIF('Casos de Prueba'!C3:C40,"Versiones y escenarios")</f>
        <v/>
      </c>
      <c r="C15" s="14">
        <f>COUNTIFS('Casos de Prueba'!C3:C40,"Versiones y escenarios",'Casos de Prueba'!I3:I40,"Aprobado")</f>
        <v/>
      </c>
    </row>
    <row r="16">
      <c r="A16" s="20" t="inlineStr">
        <is>
          <t>Entrada de datos</t>
        </is>
      </c>
      <c r="B16" s="14">
        <f>COUNTIF('Casos de Prueba'!C3:C40,"Entrada de datos")</f>
        <v/>
      </c>
      <c r="C16" s="14">
        <f>COUNTIFS('Casos de Prueba'!C3:C40,"Entrada de datos",'Casos de Prueba'!I3:I40,"Aprobado")</f>
        <v/>
      </c>
    </row>
    <row r="17">
      <c r="A17" s="20" t="inlineStr">
        <is>
          <t>Seguridad y autorizaciones</t>
        </is>
      </c>
      <c r="B17" s="14">
        <f>COUNTIF('Casos de Prueba'!C3:C40,"Seguridad y autorizaciones")</f>
        <v/>
      </c>
      <c r="C17" s="14">
        <f>COUNTIFS('Casos de Prueba'!C3:C40,"Seguridad y autorizaciones",'Casos de Prueba'!I3:I40,"Aprobado")</f>
        <v/>
      </c>
    </row>
    <row r="18">
      <c r="A18" s="20" t="inlineStr">
        <is>
          <t>Reportes y dashboards</t>
        </is>
      </c>
      <c r="B18" s="14">
        <f>COUNTIF('Casos de Prueba'!C3:C40,"Reportes y dashboards")</f>
        <v/>
      </c>
      <c r="C18" s="14">
        <f>COUNTIFS('Casos de Prueba'!C3:C40,"Reportes y dashboards",'Casos de Prueba'!I3:I40,"Aprobado")</f>
        <v/>
      </c>
    </row>
    <row r="19">
      <c r="A19" s="20" t="inlineStr">
        <is>
          <t>Conciliación</t>
        </is>
      </c>
      <c r="B19" s="14">
        <f>COUNTIF('Casos de Prueba'!C3:C40,"Conciliación")</f>
        <v/>
      </c>
      <c r="C19" s="14">
        <f>COUNTIFS('Casos de Prueba'!C3:C40,"Conciliación",'Casos de Prueba'!I3:I40,"Aprobado")</f>
        <v/>
      </c>
    </row>
    <row r="20">
      <c r="A20" s="20" t="inlineStr">
        <is>
          <t>Rendimiento</t>
        </is>
      </c>
      <c r="B20" s="14">
        <f>COUNTIF('Casos de Prueba'!C3:C40,"Rendimiento")</f>
        <v/>
      </c>
      <c r="C20" s="14">
        <f>COUNTIFS('Casos de Prueba'!C3:C40,"Rendimiento",'Casos de Prueba'!I3:I40,"Aprobado")</f>
        <v/>
      </c>
    </row>
    <row r="21">
      <c r="A21" s="20" t="inlineStr">
        <is>
          <t>Regresión / general</t>
        </is>
      </c>
      <c r="B21" s="14">
        <f>COUNTIF('Casos de Prueba'!C3:C40,"Regresión / general")</f>
        <v/>
      </c>
      <c r="C21" s="14">
        <f>COUNTIFS('Casos de Prueba'!C3:C40,"Regresión / general",'Casos de Prueba'!I3:I40,"Aprobado")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Estados</t>
        </is>
      </c>
      <c r="B1" s="2" t="inlineStr">
        <is>
          <t>Prioridad</t>
        </is>
      </c>
      <c r="C1" s="2" t="inlineStr">
        <is>
          <t>Modelos</t>
        </is>
      </c>
      <c r="D1" s="2" t="inlineStr">
        <is>
          <t>Categorías</t>
        </is>
      </c>
      <c r="E1" s="2" t="inlineStr">
        <is>
          <t>EstadoDefecto</t>
        </is>
      </c>
      <c r="F1" s="2" t="inlineStr">
        <is>
          <t>Severidad</t>
        </is>
      </c>
    </row>
    <row r="2">
      <c r="A2" t="inlineStr">
        <is>
          <t>Pendiente</t>
        </is>
      </c>
      <c r="B2" t="inlineStr">
        <is>
          <t>Alta</t>
        </is>
      </c>
      <c r="C2" t="inlineStr">
        <is>
          <t>Ingresos</t>
        </is>
      </c>
      <c r="D2" t="inlineStr">
        <is>
          <t>Datos maestros y dimensiones</t>
        </is>
      </c>
      <c r="E2" t="inlineStr">
        <is>
          <t>Abierto</t>
        </is>
      </c>
      <c r="F2" t="inlineStr">
        <is>
          <t>Crítica</t>
        </is>
      </c>
    </row>
    <row r="3">
      <c r="A3" t="inlineStr">
        <is>
          <t>Aprobado</t>
        </is>
      </c>
      <c r="B3" t="inlineStr">
        <is>
          <t>Media</t>
        </is>
      </c>
      <c r="C3" t="inlineStr">
        <is>
          <t>Costos y Gastos</t>
        </is>
      </c>
      <c r="D3" t="inlineStr">
        <is>
          <t>Integración de datos</t>
        </is>
      </c>
      <c r="E3" t="inlineStr">
        <is>
          <t>En análisis</t>
        </is>
      </c>
      <c r="F3" t="inlineStr">
        <is>
          <t>Alta</t>
        </is>
      </c>
    </row>
    <row r="4">
      <c r="A4" t="inlineStr">
        <is>
          <t>Fallido</t>
        </is>
      </c>
      <c r="B4" t="inlineStr">
        <is>
          <t>Baja</t>
        </is>
      </c>
      <c r="C4" t="inlineStr">
        <is>
          <t>Estados Financieros</t>
        </is>
      </c>
      <c r="D4" t="inlineStr">
        <is>
          <t>Cálculos (Data Actions)</t>
        </is>
      </c>
      <c r="E4" t="inlineStr">
        <is>
          <t>En corrección</t>
        </is>
      </c>
      <c r="F4" t="inlineStr">
        <is>
          <t>Media</t>
        </is>
      </c>
    </row>
    <row r="5">
      <c r="A5" t="inlineStr">
        <is>
          <t>Bloqueado</t>
        </is>
      </c>
      <c r="C5" t="inlineStr">
        <is>
          <t>Todos</t>
        </is>
      </c>
      <c r="D5" t="inlineStr">
        <is>
          <t>Versiones y escenarios</t>
        </is>
      </c>
      <c r="E5" t="inlineStr">
        <is>
          <t>Resuelto</t>
        </is>
      </c>
      <c r="F5" t="inlineStr">
        <is>
          <t>Baja</t>
        </is>
      </c>
    </row>
    <row r="6">
      <c r="A6" t="inlineStr">
        <is>
          <t>No aplica</t>
        </is>
      </c>
      <c r="D6" t="inlineStr">
        <is>
          <t>Entrada de datos</t>
        </is>
      </c>
      <c r="E6" t="inlineStr">
        <is>
          <t>Cerrado</t>
        </is>
      </c>
    </row>
    <row r="7">
      <c r="D7" t="inlineStr">
        <is>
          <t>Seguridad y autorizaciones</t>
        </is>
      </c>
    </row>
    <row r="8">
      <c r="D8" t="inlineStr">
        <is>
          <t>Reportes y dashboards</t>
        </is>
      </c>
    </row>
    <row r="9">
      <c r="D9" t="inlineStr">
        <is>
          <t>Conciliación</t>
        </is>
      </c>
    </row>
    <row r="10">
      <c r="D10" t="inlineStr">
        <is>
          <t>Rendimiento</t>
        </is>
      </c>
    </row>
    <row r="11">
      <c r="D11" t="inlineStr">
        <is>
          <t>Regresión / 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5" customWidth="1" min="4" max="4"/>
    <col width="24" customWidth="1" min="5" max="5"/>
    <col width="34" customWidth="1" min="6" max="6"/>
    <col width="30" customWidth="1" min="7" max="7"/>
    <col width="10" customWidth="1" min="8" max="8"/>
    <col width="12" customWidth="1" min="9" max="9"/>
    <col width="24" customWidth="1" min="10" max="10"/>
    <col width="12" customWidth="1" min="11" max="11"/>
    <col width="11" customWidth="1" min="12" max="12"/>
    <col width="14" customWidth="1" min="13" max="13"/>
  </cols>
  <sheetData>
    <row r="1" ht="24" customHeight="1">
      <c r="A1" s="1" t="inlineStr">
        <is>
          <t>GUION DE PRUEBAS — MODELOS DE SAP ANALYTICS CLOUD (SAC)</t>
        </is>
      </c>
    </row>
    <row r="2" ht="30" customHeight="1">
      <c r="A2" s="12" t="inlineStr">
        <is>
          <t>ID</t>
        </is>
      </c>
      <c r="B2" s="12" t="inlineStr">
        <is>
          <t>Caso de prueba</t>
        </is>
      </c>
      <c r="C2" s="12" t="inlineStr">
        <is>
          <t>Categoría</t>
        </is>
      </c>
      <c r="D2" s="12" t="inlineStr">
        <is>
          <t>Modelo</t>
        </is>
      </c>
      <c r="E2" s="12" t="inlineStr">
        <is>
          <t>Precondiciones</t>
        </is>
      </c>
      <c r="F2" s="12" t="inlineStr">
        <is>
          <t>Pasos</t>
        </is>
      </c>
      <c r="G2" s="12" t="inlineStr">
        <is>
          <t>Resultado esperado</t>
        </is>
      </c>
      <c r="H2" s="12" t="inlineStr">
        <is>
          <t>Prioridad</t>
        </is>
      </c>
      <c r="I2" s="12" t="inlineStr">
        <is>
          <t>Estado</t>
        </is>
      </c>
      <c r="J2" s="12" t="inlineStr">
        <is>
          <t>Resultado obtenido</t>
        </is>
      </c>
      <c r="K2" s="12" t="inlineStr">
        <is>
          <t>Tester</t>
        </is>
      </c>
      <c r="L2" s="12" t="inlineStr">
        <is>
          <t>Fecha</t>
        </is>
      </c>
      <c r="M2" s="12" t="inlineStr">
        <is>
          <t>Evidencia</t>
        </is>
      </c>
    </row>
    <row r="3" ht="44" customHeight="1">
      <c r="A3" s="14" t="inlineStr">
        <is>
          <t>TC-001</t>
        </is>
      </c>
      <c r="B3" s="21" t="inlineStr">
        <is>
          <t>Verificar dimensiones y jerarquías del modelo</t>
        </is>
      </c>
      <c r="C3" s="22" t="inlineStr">
        <is>
          <t>Datos maestros y dimensiones</t>
        </is>
      </c>
      <c r="D3" s="14" t="inlineStr">
        <is>
          <t>Todos</t>
        </is>
      </c>
      <c r="E3" s="23" t="inlineStr">
        <is>
          <t>Modelo creado; maestros importados</t>
        </is>
      </c>
      <c r="F3" s="23" t="inlineStr">
        <is>
          <t>Abrir el modelo y revisar las dimensiones (Cuenta, Sociedad, CEBE, CECO, Versión, Fecha) y sus jerarquías</t>
        </is>
      </c>
      <c r="G3" s="23" t="inlineStr">
        <is>
          <t>Todas las dimensiones y jerarquías existen, sin duplicados ni nodos huérfanos</t>
        </is>
      </c>
      <c r="H3" s="14" t="inlineStr">
        <is>
          <t>Alta</t>
        </is>
      </c>
      <c r="I3" s="14" t="inlineStr">
        <is>
          <t>Pendiente</t>
        </is>
      </c>
      <c r="J3" s="23" t="inlineStr"/>
      <c r="K3" s="22" t="inlineStr"/>
      <c r="L3" s="14" t="inlineStr"/>
      <c r="M3" s="22" t="inlineStr"/>
    </row>
    <row r="4" ht="44" customHeight="1">
      <c r="A4" s="14" t="inlineStr">
        <is>
          <t>TC-002</t>
        </is>
      </c>
      <c r="B4" s="21" t="inlineStr">
        <is>
          <t>Validar miembros de dimensión contra la fuente</t>
        </is>
      </c>
      <c r="C4" s="22" t="inlineStr">
        <is>
          <t>Datos maestros y dimensiones</t>
        </is>
      </c>
      <c r="D4" s="14" t="inlineStr">
        <is>
          <t>Todos</t>
        </is>
      </c>
      <c r="E4" s="23" t="inlineStr">
        <is>
          <t>Maestros disponibles en DataSphere</t>
        </is>
      </c>
      <c r="F4" s="23" t="inlineStr">
        <is>
          <t>Comparar el conteo y los valores de miembros (regionales, CECOs, cuentas) con la fuente</t>
        </is>
      </c>
      <c r="G4" s="23" t="inlineStr">
        <is>
          <t>Coinciden 100% con la fuente</t>
        </is>
      </c>
      <c r="H4" s="14" t="inlineStr">
        <is>
          <t>Alta</t>
        </is>
      </c>
      <c r="I4" s="14" t="inlineStr">
        <is>
          <t>Pendiente</t>
        </is>
      </c>
      <c r="J4" s="23" t="inlineStr"/>
      <c r="K4" s="22" t="inlineStr"/>
      <c r="L4" s="14" t="inlineStr"/>
      <c r="M4" s="22" t="inlineStr"/>
    </row>
    <row r="5" ht="44" customHeight="1">
      <c r="A5" s="14" t="inlineStr">
        <is>
          <t>TC-003</t>
        </is>
      </c>
      <c r="B5" s="21" t="inlineStr">
        <is>
          <t>Validar propiedades de la dimensión Cuenta</t>
        </is>
      </c>
      <c r="C5" s="22" t="inlineStr">
        <is>
          <t>Datos maestros y dimensiones</t>
        </is>
      </c>
      <c r="D5" s="14" t="inlineStr">
        <is>
          <t>Todos</t>
        </is>
      </c>
      <c r="E5" s="23" t="inlineStr">
        <is>
          <t>—</t>
        </is>
      </c>
      <c r="F5" s="23" t="inlineStr">
        <is>
          <t>Revisar tipo de cuenta (INC/EXP/AST/LEQ), agregación y signo de cada cuenta</t>
        </is>
      </c>
      <c r="G5" s="23" t="inlineStr">
        <is>
          <t>Cada cuenta tiene tipo, agregación y signo correctos</t>
        </is>
      </c>
      <c r="H5" s="14" t="inlineStr">
        <is>
          <t>Alta</t>
        </is>
      </c>
      <c r="I5" s="14" t="inlineStr">
        <is>
          <t>Pendiente</t>
        </is>
      </c>
      <c r="J5" s="23" t="inlineStr"/>
      <c r="K5" s="22" t="inlineStr"/>
      <c r="L5" s="14" t="inlineStr"/>
      <c r="M5" s="22" t="inlineStr"/>
    </row>
    <row r="6" ht="44" customHeight="1">
      <c r="A6" s="14" t="inlineStr">
        <is>
          <t>TC-004</t>
        </is>
      </c>
      <c r="B6" s="21" t="inlineStr">
        <is>
          <t>Validar descripciones y atributos de miembros</t>
        </is>
      </c>
      <c r="C6" s="22" t="inlineStr">
        <is>
          <t>Datos maestros y dimensiones</t>
        </is>
      </c>
      <c r="D6" s="14" t="inlineStr">
        <is>
          <t>Todos</t>
        </is>
      </c>
      <c r="E6" s="23" t="inlineStr">
        <is>
          <t>—</t>
        </is>
      </c>
      <c r="F6" s="23" t="inlineStr">
        <is>
          <t>Revisar descripciones y atributos de cuentas y centros</t>
        </is>
      </c>
      <c r="G6" s="23" t="inlineStr">
        <is>
          <t>Descripciones correctas y completas; sin miembros sin descripción</t>
        </is>
      </c>
      <c r="H6" s="14" t="inlineStr">
        <is>
          <t>Media</t>
        </is>
      </c>
      <c r="I6" s="14" t="inlineStr">
        <is>
          <t>Pendiente</t>
        </is>
      </c>
      <c r="J6" s="23" t="inlineStr"/>
      <c r="K6" s="22" t="inlineStr"/>
      <c r="L6" s="14" t="inlineStr"/>
      <c r="M6" s="22" t="inlineStr"/>
    </row>
    <row r="7" ht="44" customHeight="1">
      <c r="A7" s="14" t="inlineStr">
        <is>
          <t>TC-010</t>
        </is>
      </c>
      <c r="B7" s="21" t="inlineStr">
        <is>
          <t>Ejecutar importación del real desde DataSphere</t>
        </is>
      </c>
      <c r="C7" s="22" t="inlineStr">
        <is>
          <t>Integración de datos</t>
        </is>
      </c>
      <c r="D7" s="14" t="inlineStr">
        <is>
          <t>Todos</t>
        </is>
      </c>
      <c r="E7" s="23" t="inlineStr">
        <is>
          <t>Conexión a DataSphere configurada</t>
        </is>
      </c>
      <c r="F7" s="23" t="inlineStr">
        <is>
          <t>Ejecutar el flujo de importación del dato real para un periodo de prueba</t>
        </is>
      </c>
      <c r="G7" s="23" t="inlineStr">
        <is>
          <t>La importación finaliza sin errores</t>
        </is>
      </c>
      <c r="H7" s="14" t="inlineStr">
        <is>
          <t>Alta</t>
        </is>
      </c>
      <c r="I7" s="14" t="inlineStr">
        <is>
          <t>Pendiente</t>
        </is>
      </c>
      <c r="J7" s="23" t="inlineStr"/>
      <c r="K7" s="22" t="inlineStr"/>
      <c r="L7" s="14" t="inlineStr"/>
      <c r="M7" s="22" t="inlineStr"/>
    </row>
    <row r="8" ht="44" customHeight="1">
      <c r="A8" s="14" t="inlineStr">
        <is>
          <t>TC-011</t>
        </is>
      </c>
      <c r="B8" s="21" t="inlineStr">
        <is>
          <t>Conciliar saldos reales SAC vs. ERP</t>
        </is>
      </c>
      <c r="C8" s="22" t="inlineStr">
        <is>
          <t>Integración de datos</t>
        </is>
      </c>
      <c r="D8" s="14" t="inlineStr">
        <is>
          <t>Estados Financieros</t>
        </is>
      </c>
      <c r="E8" s="23" t="inlineStr">
        <is>
          <t>Real importado</t>
        </is>
      </c>
      <c r="F8" s="23" t="inlineStr">
        <is>
          <t>Comparar totales por cuenta y CEBE contra el balance del ERP</t>
        </is>
      </c>
      <c r="G8" s="23" t="inlineStr">
        <is>
          <t>Diferencia = 0</t>
        </is>
      </c>
      <c r="H8" s="14" t="inlineStr">
        <is>
          <t>Alta</t>
        </is>
      </c>
      <c r="I8" s="14" t="inlineStr">
        <is>
          <t>Pendiente</t>
        </is>
      </c>
      <c r="J8" s="23" t="inlineStr"/>
      <c r="K8" s="22" t="inlineStr"/>
      <c r="L8" s="14" t="inlineStr"/>
      <c r="M8" s="22" t="inlineStr"/>
    </row>
    <row r="9" ht="44" customHeight="1">
      <c r="A9" s="14" t="inlineStr">
        <is>
          <t>TC-012</t>
        </is>
      </c>
      <c r="B9" s="21" t="inlineStr">
        <is>
          <t>Verificar el mapeo de campos (origen → dimensión/medida)</t>
        </is>
      </c>
      <c r="C9" s="22" t="inlineStr">
        <is>
          <t>Integración de datos</t>
        </is>
      </c>
      <c r="D9" s="14" t="inlineStr">
        <is>
          <t>Todos</t>
        </is>
      </c>
      <c r="E9" s="23" t="inlineStr">
        <is>
          <t>—</t>
        </is>
      </c>
      <c r="F9" s="23" t="inlineStr">
        <is>
          <t>Revisar que cada campo origen mapea a la dimensión o medida correcta</t>
        </is>
      </c>
      <c r="G9" s="23" t="inlineStr">
        <is>
          <t>Mapeo correcto; sin datos en «no asignado»</t>
        </is>
      </c>
      <c r="H9" s="14" t="inlineStr">
        <is>
          <t>Alta</t>
        </is>
      </c>
      <c r="I9" s="14" t="inlineStr">
        <is>
          <t>Pendiente</t>
        </is>
      </c>
      <c r="J9" s="23" t="inlineStr"/>
      <c r="K9" s="22" t="inlineStr"/>
      <c r="L9" s="14" t="inlineStr"/>
      <c r="M9" s="22" t="inlineStr"/>
    </row>
    <row r="10" ht="44" customHeight="1">
      <c r="A10" s="14" t="inlineStr">
        <is>
          <t>TC-013</t>
        </is>
      </c>
      <c r="B10" s="21" t="inlineStr">
        <is>
          <t>Probar el refresco programado del real</t>
        </is>
      </c>
      <c r="C10" s="22" t="inlineStr">
        <is>
          <t>Integración de datos</t>
        </is>
      </c>
      <c r="D10" s="14" t="inlineStr">
        <is>
          <t>Todos</t>
        </is>
      </c>
      <c r="E10" s="23" t="inlineStr">
        <is>
          <t>Calendario de refresco configurado</t>
        </is>
      </c>
      <c r="F10" s="23" t="inlineStr">
        <is>
          <t>Verificar la ejecución del refresco y su bitácora</t>
        </is>
      </c>
      <c r="G10" s="23" t="inlineStr">
        <is>
          <t>Refresco exitoso según el calendario</t>
        </is>
      </c>
      <c r="H10" s="14" t="inlineStr">
        <is>
          <t>Media</t>
        </is>
      </c>
      <c r="I10" s="14" t="inlineStr">
        <is>
          <t>Pendiente</t>
        </is>
      </c>
      <c r="J10" s="23" t="inlineStr"/>
      <c r="K10" s="22" t="inlineStr"/>
      <c r="L10" s="14" t="inlineStr"/>
      <c r="M10" s="22" t="inlineStr"/>
    </row>
    <row r="11" ht="44" customHeight="1">
      <c r="A11" s="14" t="inlineStr">
        <is>
          <t>TC-014</t>
        </is>
      </c>
      <c r="B11" s="21" t="inlineStr">
        <is>
          <t>Manejo de errores de importación (datos inválidos)</t>
        </is>
      </c>
      <c r="C11" s="22" t="inlineStr">
        <is>
          <t>Integración de datos</t>
        </is>
      </c>
      <c r="D11" s="14" t="inlineStr">
        <is>
          <t>Todos</t>
        </is>
      </c>
      <c r="E11" s="23" t="inlineStr">
        <is>
          <t>—</t>
        </is>
      </c>
      <c r="F11" s="23" t="inlineStr">
        <is>
          <t>Cargar un registro con un miembro inexistente</t>
        </is>
      </c>
      <c r="G11" s="23" t="inlineStr">
        <is>
          <t>El sistema rechaza el registro e informa el error con claridad</t>
        </is>
      </c>
      <c r="H11" s="14" t="inlineStr">
        <is>
          <t>Media</t>
        </is>
      </c>
      <c r="I11" s="14" t="inlineStr">
        <is>
          <t>Pendiente</t>
        </is>
      </c>
      <c r="J11" s="23" t="inlineStr"/>
      <c r="K11" s="22" t="inlineStr"/>
      <c r="L11" s="14" t="inlineStr"/>
      <c r="M11" s="22" t="inlineStr"/>
    </row>
    <row r="12" ht="44" customHeight="1">
      <c r="A12" s="14" t="inlineStr">
        <is>
          <t>TC-020</t>
        </is>
      </c>
      <c r="B12" s="21" t="inlineStr">
        <is>
          <t>Data Action de ingresos P×Q</t>
        </is>
      </c>
      <c r="C12" s="22" t="inlineStr">
        <is>
          <t>Cálculos (Data Actions)</t>
        </is>
      </c>
      <c r="D12" s="14" t="inlineStr">
        <is>
          <t>Ingresos</t>
        </is>
      </c>
      <c r="E12" s="23" t="inlineStr">
        <is>
          <t>Kilos y tarifa cargados</t>
        </is>
      </c>
      <c r="F12" s="23" t="inlineStr">
        <is>
          <t>Ejecutar la Data Action de P×Q sobre un juego de datos controlado</t>
        </is>
      </c>
      <c r="G12" s="23" t="inlineStr">
        <is>
          <t>Importe = Kilos × Tarifa (coincide con el cálculo manual)</t>
        </is>
      </c>
      <c r="H12" s="14" t="inlineStr">
        <is>
          <t>Alta</t>
        </is>
      </c>
      <c r="I12" s="14" t="inlineStr">
        <is>
          <t>Pendiente</t>
        </is>
      </c>
      <c r="J12" s="23" t="inlineStr"/>
      <c r="K12" s="22" t="inlineStr"/>
      <c r="L12" s="14" t="inlineStr"/>
      <c r="M12" s="22" t="inlineStr"/>
    </row>
    <row r="13" ht="44" customHeight="1">
      <c r="A13" s="14" t="inlineStr">
        <is>
          <t>TC-021</t>
        </is>
      </c>
      <c r="B13" s="21" t="inlineStr">
        <is>
          <t>Data Action de crecimiento (volumen y tarifa)</t>
        </is>
      </c>
      <c r="C13" s="22" t="inlineStr">
        <is>
          <t>Cálculos (Data Actions)</t>
        </is>
      </c>
      <c r="D13" s="14" t="inlineStr">
        <is>
          <t>Ingresos</t>
        </is>
      </c>
      <c r="E13" s="23" t="inlineStr">
        <is>
          <t>Base N-1 y % definidos</t>
        </is>
      </c>
      <c r="F13" s="23" t="inlineStr">
        <is>
          <t>Ejecutar la Data Action de crecimiento</t>
        </is>
      </c>
      <c r="G13" s="23" t="inlineStr">
        <is>
          <t>Resultado = base × (1 + %), por regional</t>
        </is>
      </c>
      <c r="H13" s="14" t="inlineStr">
        <is>
          <t>Alta</t>
        </is>
      </c>
      <c r="I13" s="14" t="inlineStr">
        <is>
          <t>Pendiente</t>
        </is>
      </c>
      <c r="J13" s="23" t="inlineStr"/>
      <c r="K13" s="22" t="inlineStr"/>
      <c r="L13" s="14" t="inlineStr"/>
      <c r="M13" s="22" t="inlineStr"/>
    </row>
    <row r="14" ht="44" customHeight="1">
      <c r="A14" s="14" t="inlineStr">
        <is>
          <t>TC-022</t>
        </is>
      </c>
      <c r="B14" s="21" t="inlineStr">
        <is>
          <t>Data Action de estacionalidad</t>
        </is>
      </c>
      <c r="C14" s="22" t="inlineStr">
        <is>
          <t>Cálculos (Data Actions)</t>
        </is>
      </c>
      <c r="D14" s="14" t="inlineStr">
        <is>
          <t>Ingresos</t>
        </is>
      </c>
      <c r="E14" s="23" t="inlineStr">
        <is>
          <t>Total anual calculado</t>
        </is>
      </c>
      <c r="F14" s="23" t="inlineStr">
        <is>
          <t>Ejecutar la Data Action de distribución mensual</t>
        </is>
      </c>
      <c r="G14" s="23" t="inlineStr">
        <is>
          <t>La suma mensual = total anual (100%)</t>
        </is>
      </c>
      <c r="H14" s="14" t="inlineStr">
        <is>
          <t>Alta</t>
        </is>
      </c>
      <c r="I14" s="14" t="inlineStr">
        <is>
          <t>Pendiente</t>
        </is>
      </c>
      <c r="J14" s="23" t="inlineStr"/>
      <c r="K14" s="22" t="inlineStr"/>
      <c r="L14" s="14" t="inlineStr"/>
      <c r="M14" s="22" t="inlineStr"/>
    </row>
    <row r="15" ht="44" customHeight="1">
      <c r="A15" s="14" t="inlineStr">
        <is>
          <t>TC-023</t>
        </is>
      </c>
      <c r="B15" s="21" t="inlineStr">
        <is>
          <t>Data Action de costos (fletes / mano de obra)</t>
        </is>
      </c>
      <c r="C15" s="22" t="inlineStr">
        <is>
          <t>Cálculos (Data Actions)</t>
        </is>
      </c>
      <c r="D15" s="14" t="inlineStr">
        <is>
          <t>Costos y Gastos</t>
        </is>
      </c>
      <c r="E15" s="23" t="inlineStr">
        <is>
          <t>Kilos proyectados</t>
        </is>
      </c>
      <c r="F15" s="23" t="inlineStr">
        <is>
          <t>Ejecutar las Data Actions de costos</t>
        </is>
      </c>
      <c r="G15" s="23" t="inlineStr">
        <is>
          <t>Costo = índice × kg (coincide con lo esperado)</t>
        </is>
      </c>
      <c r="H15" s="14" t="inlineStr">
        <is>
          <t>Alta</t>
        </is>
      </c>
      <c r="I15" s="14" t="inlineStr">
        <is>
          <t>Pendiente</t>
        </is>
      </c>
      <c r="J15" s="23" t="inlineStr"/>
      <c r="K15" s="22" t="inlineStr"/>
      <c r="L15" s="14" t="inlineStr"/>
      <c r="M15" s="22" t="inlineStr"/>
    </row>
    <row r="16" ht="44" customHeight="1">
      <c r="A16" s="14" t="inlineStr">
        <is>
          <t>TC-024</t>
        </is>
      </c>
      <c r="B16" s="21" t="inlineStr">
        <is>
          <t>Consolidación al EEFF (Cross-Model Copy)</t>
        </is>
      </c>
      <c r="C16" s="22" t="inlineStr">
        <is>
          <t>Cálculos (Data Actions)</t>
        </is>
      </c>
      <c r="D16" s="14" t="inlineStr">
        <is>
          <t>Estados Financieros</t>
        </is>
      </c>
      <c r="E16" s="23" t="inlineStr">
        <is>
          <t>Ingresos y costos calculados</t>
        </is>
      </c>
      <c r="F16" s="23" t="inlineStr">
        <is>
          <t>Ejecutar la Data Action de consolidación</t>
        </is>
      </c>
      <c r="G16" s="23" t="inlineStr">
        <is>
          <t>El P&amp;G por CEBE/regional cuadra con la suma de origen</t>
        </is>
      </c>
      <c r="H16" s="14" t="inlineStr">
        <is>
          <t>Alta</t>
        </is>
      </c>
      <c r="I16" s="14" t="inlineStr">
        <is>
          <t>Pendiente</t>
        </is>
      </c>
      <c r="J16" s="23" t="inlineStr"/>
      <c r="K16" s="22" t="inlineStr"/>
      <c r="L16" s="14" t="inlineStr"/>
      <c r="M16" s="22" t="inlineStr"/>
    </row>
    <row r="17" ht="44" customHeight="1">
      <c r="A17" s="14" t="inlineStr">
        <is>
          <t>TC-025</t>
        </is>
      </c>
      <c r="B17" s="21" t="inlineStr">
        <is>
          <t>Idempotencia / re-ejecución de Data Actions</t>
        </is>
      </c>
      <c r="C17" s="22" t="inlineStr">
        <is>
          <t>Cálculos (Data Actions)</t>
        </is>
      </c>
      <c r="D17" s="14" t="inlineStr">
        <is>
          <t>Todos</t>
        </is>
      </c>
      <c r="E17" s="23" t="inlineStr">
        <is>
          <t>—</t>
        </is>
      </c>
      <c r="F17" s="23" t="inlineStr">
        <is>
          <t>Ejecutar dos veces la misma Data Action</t>
        </is>
      </c>
      <c r="G17" s="23" t="inlineStr">
        <is>
          <t>El resultado no se duplica (mismos valores)</t>
        </is>
      </c>
      <c r="H17" s="14" t="inlineStr">
        <is>
          <t>Media</t>
        </is>
      </c>
      <c r="I17" s="14" t="inlineStr">
        <is>
          <t>Pendiente</t>
        </is>
      </c>
      <c r="J17" s="23" t="inlineStr"/>
      <c r="K17" s="22" t="inlineStr"/>
      <c r="L17" s="14" t="inlineStr"/>
      <c r="M17" s="22" t="inlineStr"/>
    </row>
    <row r="18" ht="44" customHeight="1">
      <c r="A18" s="14" t="inlineStr">
        <is>
          <t>TC-026</t>
        </is>
      </c>
      <c r="B18" s="21" t="inlineStr">
        <is>
          <t>Cálculo sobre versión privada</t>
        </is>
      </c>
      <c r="C18" s="22" t="inlineStr">
        <is>
          <t>Cálculos (Data Actions)</t>
        </is>
      </c>
      <c r="D18" s="14" t="inlineStr">
        <is>
          <t>Todos</t>
        </is>
      </c>
      <c r="E18" s="23" t="inlineStr">
        <is>
          <t>—</t>
        </is>
      </c>
      <c r="F18" s="23" t="inlineStr">
        <is>
          <t>Ejecutar el cálculo en una versión privada de pruebas</t>
        </is>
      </c>
      <c r="G18" s="23" t="inlineStr">
        <is>
          <t>El cálculo afecta solo a la versión privada</t>
        </is>
      </c>
      <c r="H18" s="14" t="inlineStr">
        <is>
          <t>Media</t>
        </is>
      </c>
      <c r="I18" s="14" t="inlineStr">
        <is>
          <t>Pendiente</t>
        </is>
      </c>
      <c r="J18" s="23" t="inlineStr"/>
      <c r="K18" s="22" t="inlineStr"/>
      <c r="L18" s="14" t="inlineStr"/>
      <c r="M18" s="22" t="inlineStr"/>
    </row>
    <row r="19" ht="44" customHeight="1">
      <c r="A19" s="14" t="inlineStr">
        <is>
          <t>TC-030</t>
        </is>
      </c>
      <c r="B19" s="21" t="inlineStr">
        <is>
          <t>Crear y publicar una versión de presupuesto</t>
        </is>
      </c>
      <c r="C19" s="22" t="inlineStr">
        <is>
          <t>Versiones y escenarios</t>
        </is>
      </c>
      <c r="D19" s="14" t="inlineStr">
        <is>
          <t>Todos</t>
        </is>
      </c>
      <c r="E19" s="23" t="inlineStr">
        <is>
          <t>—</t>
        </is>
      </c>
      <c r="F19" s="23" t="inlineStr">
        <is>
          <t>Copiar de Actual a Presupuesto, editar y publicar</t>
        </is>
      </c>
      <c r="G19" s="23" t="inlineStr">
        <is>
          <t>La versión pública queda con los valores publicados</t>
        </is>
      </c>
      <c r="H19" s="14" t="inlineStr">
        <is>
          <t>Alta</t>
        </is>
      </c>
      <c r="I19" s="14" t="inlineStr">
        <is>
          <t>Pendiente</t>
        </is>
      </c>
      <c r="J19" s="23" t="inlineStr"/>
      <c r="K19" s="22" t="inlineStr"/>
      <c r="L19" s="14" t="inlineStr"/>
      <c r="M19" s="22" t="inlineStr"/>
    </row>
    <row r="20" ht="44" customHeight="1">
      <c r="A20" s="14" t="inlineStr">
        <is>
          <t>TC-031</t>
        </is>
      </c>
      <c r="B20" s="21" t="inlineStr">
        <is>
          <t>Aislamiento entre versiones</t>
        </is>
      </c>
      <c r="C20" s="22" t="inlineStr">
        <is>
          <t>Versiones y escenarios</t>
        </is>
      </c>
      <c r="D20" s="14" t="inlineStr">
        <is>
          <t>Todos</t>
        </is>
      </c>
      <c r="E20" s="23" t="inlineStr">
        <is>
          <t>—</t>
        </is>
      </c>
      <c r="F20" s="23" t="inlineStr">
        <is>
          <t>Editar la versión privada y revisar la pública</t>
        </is>
      </c>
      <c r="G20" s="23" t="inlineStr">
        <is>
          <t>Las versiones son independientes</t>
        </is>
      </c>
      <c r="H20" s="14" t="inlineStr">
        <is>
          <t>Alta</t>
        </is>
      </c>
      <c r="I20" s="14" t="inlineStr">
        <is>
          <t>Pendiente</t>
        </is>
      </c>
      <c r="J20" s="23" t="inlineStr"/>
      <c r="K20" s="22" t="inlineStr"/>
      <c r="L20" s="14" t="inlineStr"/>
      <c r="M20" s="22" t="inlineStr"/>
    </row>
    <row r="21" ht="44" customHeight="1">
      <c r="A21" s="14" t="inlineStr">
        <is>
          <t>TC-032</t>
        </is>
      </c>
      <c r="B21" s="21" t="inlineStr">
        <is>
          <t>Bloqueo de datos (Data Locking)</t>
        </is>
      </c>
      <c r="C21" s="22" t="inlineStr">
        <is>
          <t>Versiones y escenarios</t>
        </is>
      </c>
      <c r="D21" s="14" t="inlineStr">
        <is>
          <t>Todos</t>
        </is>
      </c>
      <c r="E21" s="23" t="inlineStr">
        <is>
          <t>Versión aprobada</t>
        </is>
      </c>
      <c r="F21" s="23" t="inlineStr">
        <is>
          <t>Bloquear el presupuesto aprobado e intentar editar</t>
        </is>
      </c>
      <c r="G21" s="23" t="inlineStr">
        <is>
          <t>La edición se impide para usuarios sin permiso</t>
        </is>
      </c>
      <c r="H21" s="14" t="inlineStr">
        <is>
          <t>Alta</t>
        </is>
      </c>
      <c r="I21" s="14" t="inlineStr">
        <is>
          <t>Pendiente</t>
        </is>
      </c>
      <c r="J21" s="23" t="inlineStr"/>
      <c r="K21" s="22" t="inlineStr"/>
      <c r="L21" s="14" t="inlineStr"/>
      <c r="M21" s="22" t="inlineStr"/>
    </row>
    <row r="22" ht="44" customHeight="1">
      <c r="A22" s="14" t="inlineStr">
        <is>
          <t>TC-033</t>
        </is>
      </c>
      <c r="B22" s="21" t="inlineStr">
        <is>
          <t>Simulación / escenario</t>
        </is>
      </c>
      <c r="C22" s="22" t="inlineStr">
        <is>
          <t>Versiones y escenarios</t>
        </is>
      </c>
      <c r="D22" s="14" t="inlineStr">
        <is>
          <t>Estados Financieros</t>
        </is>
      </c>
      <c r="E22" s="23" t="inlineStr">
        <is>
          <t>—</t>
        </is>
      </c>
      <c r="F22" s="23" t="inlineStr">
        <is>
          <t>Crear un escenario (p. ej. nueva licitación) y recalcular</t>
        </is>
      </c>
      <c r="G22" s="23" t="inlineStr">
        <is>
          <t>El escenario refleja el impacto esperado</t>
        </is>
      </c>
      <c r="H22" s="14" t="inlineStr">
        <is>
          <t>Media</t>
        </is>
      </c>
      <c r="I22" s="14" t="inlineStr">
        <is>
          <t>Pendiente</t>
        </is>
      </c>
      <c r="J22" s="23" t="inlineStr"/>
      <c r="K22" s="22" t="inlineStr"/>
      <c r="L22" s="14" t="inlineStr"/>
      <c r="M22" s="22" t="inlineStr"/>
    </row>
    <row r="23" ht="44" customHeight="1">
      <c r="A23" s="14" t="inlineStr">
        <is>
          <t>TC-040</t>
        </is>
      </c>
      <c r="B23" s="21" t="inlineStr">
        <is>
          <t>Cargar el plan mediante plantilla (Input Form)</t>
        </is>
      </c>
      <c r="C23" s="22" t="inlineStr">
        <is>
          <t>Entrada de datos</t>
        </is>
      </c>
      <c r="D23" s="14" t="inlineStr">
        <is>
          <t>Todos</t>
        </is>
      </c>
      <c r="E23" s="23" t="inlineStr">
        <is>
          <t>Plantilla diseñada</t>
        </is>
      </c>
      <c r="F23" s="23" t="inlineStr">
        <is>
          <t>Diligenciar la plantilla y cargar los datos</t>
        </is>
      </c>
      <c r="G23" s="23" t="inlineStr">
        <is>
          <t>Los datos se cargan en el modelo y versión correctos</t>
        </is>
      </c>
      <c r="H23" s="14" t="inlineStr">
        <is>
          <t>Alta</t>
        </is>
      </c>
      <c r="I23" s="14" t="inlineStr">
        <is>
          <t>Pendiente</t>
        </is>
      </c>
      <c r="J23" s="23" t="inlineStr"/>
      <c r="K23" s="22" t="inlineStr"/>
      <c r="L23" s="14" t="inlineStr"/>
      <c r="M23" s="22" t="inlineStr"/>
    </row>
    <row r="24" ht="44" customHeight="1">
      <c r="A24" s="14" t="inlineStr">
        <is>
          <t>TC-041</t>
        </is>
      </c>
      <c r="B24" s="21" t="inlineStr">
        <is>
          <t>Opción de carga: Reemplazar vs. Acumular</t>
        </is>
      </c>
      <c r="C24" s="22" t="inlineStr">
        <is>
          <t>Entrada de datos</t>
        </is>
      </c>
      <c r="D24" s="14" t="inlineStr">
        <is>
          <t>Todos</t>
        </is>
      </c>
      <c r="E24" s="23" t="inlineStr">
        <is>
          <t>—</t>
        </is>
      </c>
      <c r="F24" s="23" t="inlineStr">
        <is>
          <t>Cargar el mismo archivo dos veces con la opción «Reemplazar»</t>
        </is>
      </c>
      <c r="G24" s="23" t="inlineStr">
        <is>
          <t>Los valores se reemplazan, no se suman</t>
        </is>
      </c>
      <c r="H24" s="14" t="inlineStr">
        <is>
          <t>Alta</t>
        </is>
      </c>
      <c r="I24" s="14" t="inlineStr">
        <is>
          <t>Pendiente</t>
        </is>
      </c>
      <c r="J24" s="23" t="inlineStr"/>
      <c r="K24" s="22" t="inlineStr"/>
      <c r="L24" s="14" t="inlineStr"/>
      <c r="M24" s="22" t="inlineStr"/>
    </row>
    <row r="25" ht="44" customHeight="1">
      <c r="A25" s="14" t="inlineStr">
        <is>
          <t>TC-042</t>
        </is>
      </c>
      <c r="B25" s="21" t="inlineStr">
        <is>
          <t>Validaciones de entrada de datos</t>
        </is>
      </c>
      <c r="C25" s="22" t="inlineStr">
        <is>
          <t>Entrada de datos</t>
        </is>
      </c>
      <c r="D25" s="14" t="inlineStr">
        <is>
          <t>Todos</t>
        </is>
      </c>
      <c r="E25" s="23" t="inlineStr">
        <is>
          <t>—</t>
        </is>
      </c>
      <c r="F25" s="23" t="inlineStr">
        <is>
          <t>Ingresar un valor negativo o no permitido</t>
        </is>
      </c>
      <c r="G25" s="23" t="inlineStr">
        <is>
          <t>El sistema valida y muestra el mensaje</t>
        </is>
      </c>
      <c r="H25" s="14" t="inlineStr">
        <is>
          <t>Media</t>
        </is>
      </c>
      <c r="I25" s="14" t="inlineStr">
        <is>
          <t>Pendiente</t>
        </is>
      </c>
      <c r="J25" s="23" t="inlineStr"/>
      <c r="K25" s="22" t="inlineStr"/>
      <c r="L25" s="14" t="inlineStr"/>
      <c r="M25" s="22" t="inlineStr"/>
    </row>
    <row r="26" ht="44" customHeight="1">
      <c r="A26" s="14" t="inlineStr">
        <is>
          <t>TC-043</t>
        </is>
      </c>
      <c r="B26" s="21" t="inlineStr">
        <is>
          <t>Complemento de Excel (SAC Add-in)</t>
        </is>
      </c>
      <c r="C26" s="22" t="inlineStr">
        <is>
          <t>Entrada de datos</t>
        </is>
      </c>
      <c r="D26" s="14" t="inlineStr">
        <is>
          <t>Todos</t>
        </is>
      </c>
      <c r="E26" s="23" t="inlineStr">
        <is>
          <t>Add-in instalado</t>
        </is>
      </c>
      <c r="F26" s="23" t="inlineStr">
        <is>
          <t>Leer y escribir datos desde Excel</t>
        </is>
      </c>
      <c r="G26" s="23" t="inlineStr">
        <is>
          <t>Lectura y escritura correctas</t>
        </is>
      </c>
      <c r="H26" s="14" t="inlineStr">
        <is>
          <t>Baja</t>
        </is>
      </c>
      <c r="I26" s="14" t="inlineStr">
        <is>
          <t>Pendiente</t>
        </is>
      </c>
      <c r="J26" s="23" t="inlineStr"/>
      <c r="K26" s="22" t="inlineStr"/>
      <c r="L26" s="14" t="inlineStr"/>
      <c r="M26" s="22" t="inlineStr"/>
    </row>
    <row r="27" ht="44" customHeight="1">
      <c r="A27" s="14" t="inlineStr">
        <is>
          <t>TC-050</t>
        </is>
      </c>
      <c r="B27" s="21" t="inlineStr">
        <is>
          <t>Rol de planeación (escritura)</t>
        </is>
      </c>
      <c r="C27" s="22" t="inlineStr">
        <is>
          <t>Seguridad y autorizaciones</t>
        </is>
      </c>
      <c r="D27" s="14" t="inlineStr">
        <is>
          <t>Todos</t>
        </is>
      </c>
      <c r="E27" s="23" t="inlineStr">
        <is>
          <t>Usuario de planeación</t>
        </is>
      </c>
      <c r="F27" s="23" t="inlineStr">
        <is>
          <t>Iniciar sesión y editar los datos de su sociedad</t>
        </is>
      </c>
      <c r="G27" s="23" t="inlineStr">
        <is>
          <t>Puede leer y escribir en su sociedad</t>
        </is>
      </c>
      <c r="H27" s="14" t="inlineStr">
        <is>
          <t>Alta</t>
        </is>
      </c>
      <c r="I27" s="14" t="inlineStr">
        <is>
          <t>Pendiente</t>
        </is>
      </c>
      <c r="J27" s="23" t="inlineStr"/>
      <c r="K27" s="22" t="inlineStr"/>
      <c r="L27" s="14" t="inlineStr"/>
      <c r="M27" s="22" t="inlineStr"/>
    </row>
    <row r="28" ht="44" customHeight="1">
      <c r="A28" s="14" t="inlineStr">
        <is>
          <t>TC-051</t>
        </is>
      </c>
      <c r="B28" s="21" t="inlineStr">
        <is>
          <t>Rol de consulta (solo lectura)</t>
        </is>
      </c>
      <c r="C28" s="22" t="inlineStr">
        <is>
          <t>Seguridad y autorizaciones</t>
        </is>
      </c>
      <c r="D28" s="14" t="inlineStr">
        <is>
          <t>Todos</t>
        </is>
      </c>
      <c r="E28" s="23" t="inlineStr">
        <is>
          <t>Usuario de gerencia</t>
        </is>
      </c>
      <c r="F28" s="23" t="inlineStr">
        <is>
          <t>Intentar editar datos</t>
        </is>
      </c>
      <c r="G28" s="23" t="inlineStr">
        <is>
          <t>Solo lectura; la edición se impide</t>
        </is>
      </c>
      <c r="H28" s="14" t="inlineStr">
        <is>
          <t>Alta</t>
        </is>
      </c>
      <c r="I28" s="14" t="inlineStr">
        <is>
          <t>Pendiente</t>
        </is>
      </c>
      <c r="J28" s="23" t="inlineStr"/>
      <c r="K28" s="22" t="inlineStr"/>
      <c r="L28" s="14" t="inlineStr"/>
      <c r="M28" s="22" t="inlineStr"/>
    </row>
    <row r="29" ht="44" customHeight="1">
      <c r="A29" s="14" t="inlineStr">
        <is>
          <t>TC-052</t>
        </is>
      </c>
      <c r="B29" s="21" t="inlineStr">
        <is>
          <t>Data Access Control por sociedad (prueba negativa)</t>
        </is>
      </c>
      <c r="C29" s="22" t="inlineStr">
        <is>
          <t>Seguridad y autorizaciones</t>
        </is>
      </c>
      <c r="D29" s="14" t="inlineStr">
        <is>
          <t>Todos</t>
        </is>
      </c>
      <c r="E29" s="23" t="inlineStr">
        <is>
          <t>Usuario de la sociedad A</t>
        </is>
      </c>
      <c r="F29" s="23" t="inlineStr">
        <is>
          <t>Intentar ver datos de la sociedad B</t>
        </is>
      </c>
      <c r="G29" s="23" t="inlineStr">
        <is>
          <t>No visualiza datos de otra sociedad</t>
        </is>
      </c>
      <c r="H29" s="14" t="inlineStr">
        <is>
          <t>Alta</t>
        </is>
      </c>
      <c r="I29" s="14" t="inlineStr">
        <is>
          <t>Pendiente</t>
        </is>
      </c>
      <c r="J29" s="23" t="inlineStr"/>
      <c r="K29" s="22" t="inlineStr"/>
      <c r="L29" s="14" t="inlineStr"/>
      <c r="M29" s="22" t="inlineStr"/>
    </row>
    <row r="30" ht="44" customHeight="1">
      <c r="A30" s="14" t="inlineStr">
        <is>
          <t>TC-053</t>
        </is>
      </c>
      <c r="B30" s="21" t="inlineStr">
        <is>
          <t>Segregación de funciones</t>
        </is>
      </c>
      <c r="C30" s="22" t="inlineStr">
        <is>
          <t>Seguridad y autorizaciones</t>
        </is>
      </c>
      <c r="D30" s="14" t="inlineStr">
        <is>
          <t>Todos</t>
        </is>
      </c>
      <c r="E30" s="23" t="inlineStr">
        <is>
          <t>—</t>
        </is>
      </c>
      <c r="F30" s="23" t="inlineStr">
        <is>
          <t>Verificar que un rol no acumula permisos indebidos</t>
        </is>
      </c>
      <c r="G30" s="23" t="inlineStr">
        <is>
          <t>Permisos acordes al rol</t>
        </is>
      </c>
      <c r="H30" s="14" t="inlineStr">
        <is>
          <t>Media</t>
        </is>
      </c>
      <c r="I30" s="14" t="inlineStr">
        <is>
          <t>Pendiente</t>
        </is>
      </c>
      <c r="J30" s="23" t="inlineStr"/>
      <c r="K30" s="22" t="inlineStr"/>
      <c r="L30" s="14" t="inlineStr"/>
      <c r="M30" s="22" t="inlineStr"/>
    </row>
    <row r="31" ht="44" customHeight="1">
      <c r="A31" s="14" t="inlineStr">
        <is>
          <t>TC-060</t>
        </is>
      </c>
      <c r="B31" s="21" t="inlineStr">
        <is>
          <t>Cifras de la historia (Story) vs. modelo</t>
        </is>
      </c>
      <c r="C31" s="22" t="inlineStr">
        <is>
          <t>Reportes y dashboards</t>
        </is>
      </c>
      <c r="D31" s="14" t="inlineStr">
        <is>
          <t>Todos</t>
        </is>
      </c>
      <c r="E31" s="23" t="inlineStr">
        <is>
          <t>Story creada</t>
        </is>
      </c>
      <c r="F31" s="23" t="inlineStr">
        <is>
          <t>Comparar los KPIs y cifras de la story con el modelo</t>
        </is>
      </c>
      <c r="G31" s="23" t="inlineStr">
        <is>
          <t>Coinciden</t>
        </is>
      </c>
      <c r="H31" s="14" t="inlineStr">
        <is>
          <t>Alta</t>
        </is>
      </c>
      <c r="I31" s="14" t="inlineStr">
        <is>
          <t>Pendiente</t>
        </is>
      </c>
      <c r="J31" s="23" t="inlineStr"/>
      <c r="K31" s="22" t="inlineStr"/>
      <c r="L31" s="14" t="inlineStr"/>
      <c r="M31" s="22" t="inlineStr"/>
    </row>
    <row r="32" ht="44" customHeight="1">
      <c r="A32" s="14" t="inlineStr">
        <is>
          <t>TC-061</t>
        </is>
      </c>
      <c r="B32" s="21" t="inlineStr">
        <is>
          <t>Filtros e interacciones de la story</t>
        </is>
      </c>
      <c r="C32" s="22" t="inlineStr">
        <is>
          <t>Reportes y dashboards</t>
        </is>
      </c>
      <c r="D32" s="14" t="inlineStr">
        <is>
          <t>Todos</t>
        </is>
      </c>
      <c r="E32" s="23" t="inlineStr">
        <is>
          <t>—</t>
        </is>
      </c>
      <c r="F32" s="23" t="inlineStr">
        <is>
          <t>Aplicar filtros (sociedad, regional, periodo)</t>
        </is>
      </c>
      <c r="G32" s="23" t="inlineStr">
        <is>
          <t>Los filtros responden y los datos se actualizan</t>
        </is>
      </c>
      <c r="H32" s="14" t="inlineStr">
        <is>
          <t>Media</t>
        </is>
      </c>
      <c r="I32" s="14" t="inlineStr">
        <is>
          <t>Pendiente</t>
        </is>
      </c>
      <c r="J32" s="23" t="inlineStr"/>
      <c r="K32" s="22" t="inlineStr"/>
      <c r="L32" s="14" t="inlineStr"/>
      <c r="M32" s="22" t="inlineStr"/>
    </row>
    <row r="33" ht="44" customHeight="1">
      <c r="A33" s="14" t="inlineStr">
        <is>
          <t>TC-062</t>
        </is>
      </c>
      <c r="B33" s="21" t="inlineStr">
        <is>
          <t>Comparación Presupuesto vs. Real (variación)</t>
        </is>
      </c>
      <c r="C33" s="22" t="inlineStr">
        <is>
          <t>Reportes y dashboards</t>
        </is>
      </c>
      <c r="D33" s="14" t="inlineStr">
        <is>
          <t>Todos</t>
        </is>
      </c>
      <c r="E33" s="23" t="inlineStr">
        <is>
          <t>Real y presupuesto disponibles</t>
        </is>
      </c>
      <c r="F33" s="23" t="inlineStr">
        <is>
          <t>Revisar la variación en $ y %</t>
        </is>
      </c>
      <c r="G33" s="23" t="inlineStr">
        <is>
          <t>La variación se calcula correctamente</t>
        </is>
      </c>
      <c r="H33" s="14" t="inlineStr">
        <is>
          <t>Alta</t>
        </is>
      </c>
      <c r="I33" s="14" t="inlineStr">
        <is>
          <t>Pendiente</t>
        </is>
      </c>
      <c r="J33" s="23" t="inlineStr"/>
      <c r="K33" s="22" t="inlineStr"/>
      <c r="L33" s="14" t="inlineStr"/>
      <c r="M33" s="22" t="inlineStr"/>
    </row>
    <row r="34" ht="44" customHeight="1">
      <c r="A34" s="14" t="inlineStr">
        <is>
          <t>TC-063</t>
        </is>
      </c>
      <c r="B34" s="21" t="inlineStr">
        <is>
          <t>Exportación (PDF / PPT / Excel)</t>
        </is>
      </c>
      <c r="C34" s="22" t="inlineStr">
        <is>
          <t>Reportes y dashboards</t>
        </is>
      </c>
      <c r="D34" s="14" t="inlineStr">
        <is>
          <t>Todos</t>
        </is>
      </c>
      <c r="E34" s="23" t="inlineStr">
        <is>
          <t>—</t>
        </is>
      </c>
      <c r="F34" s="23" t="inlineStr">
        <is>
          <t>Exportar la story</t>
        </is>
      </c>
      <c r="G34" s="23" t="inlineStr">
        <is>
          <t>La exportación conserva datos y formato</t>
        </is>
      </c>
      <c r="H34" s="14" t="inlineStr">
        <is>
          <t>Baja</t>
        </is>
      </c>
      <c r="I34" s="14" t="inlineStr">
        <is>
          <t>Pendiente</t>
        </is>
      </c>
      <c r="J34" s="23" t="inlineStr"/>
      <c r="K34" s="22" t="inlineStr"/>
      <c r="L34" s="14" t="inlineStr"/>
      <c r="M34" s="22" t="inlineStr"/>
    </row>
    <row r="35" ht="44" customHeight="1">
      <c r="A35" s="14" t="inlineStr">
        <is>
          <t>TC-070</t>
        </is>
      </c>
      <c r="B35" s="21" t="inlineStr">
        <is>
          <t>Conciliación de ingresos SAC vs. fuente (Silotrans)</t>
        </is>
      </c>
      <c r="C35" s="22" t="inlineStr">
        <is>
          <t>Conciliación</t>
        </is>
      </c>
      <c r="D35" s="14" t="inlineStr">
        <is>
          <t>Ingresos</t>
        </is>
      </c>
      <c r="E35" s="23" t="inlineStr">
        <is>
          <t>Histórico importado</t>
        </is>
      </c>
      <c r="F35" s="23" t="inlineStr">
        <is>
          <t>Comparar kilos y pesos por regional contra la fuente</t>
        </is>
      </c>
      <c r="G35" s="23" t="inlineStr">
        <is>
          <t>Coinciden con la fuente</t>
        </is>
      </c>
      <c r="H35" s="14" t="inlineStr">
        <is>
          <t>Alta</t>
        </is>
      </c>
      <c r="I35" s="14" t="inlineStr">
        <is>
          <t>Pendiente</t>
        </is>
      </c>
      <c r="J35" s="23" t="inlineStr"/>
      <c r="K35" s="22" t="inlineStr"/>
      <c r="L35" s="14" t="inlineStr"/>
      <c r="M35" s="22" t="inlineStr"/>
    </row>
    <row r="36" ht="44" customHeight="1">
      <c r="A36" s="14" t="inlineStr">
        <is>
          <t>TC-071</t>
        </is>
      </c>
      <c r="B36" s="21" t="inlineStr">
        <is>
          <t>Conciliación del EEFF vs. contabilidad</t>
        </is>
      </c>
      <c r="C36" s="22" t="inlineStr">
        <is>
          <t>Conciliación</t>
        </is>
      </c>
      <c r="D36" s="14" t="inlineStr">
        <is>
          <t>Estados Financieros</t>
        </is>
      </c>
      <c r="E36" s="23" t="inlineStr">
        <is>
          <t>—</t>
        </is>
      </c>
      <c r="F36" s="23" t="inlineStr">
        <is>
          <t>Comparar el P&amp;G con la contabilidad</t>
        </is>
      </c>
      <c r="G36" s="23" t="inlineStr">
        <is>
          <t>Coinciden</t>
        </is>
      </c>
      <c r="H36" s="14" t="inlineStr">
        <is>
          <t>Alta</t>
        </is>
      </c>
      <c r="I36" s="14" t="inlineStr">
        <is>
          <t>Pendiente</t>
        </is>
      </c>
      <c r="J36" s="23" t="inlineStr"/>
      <c r="K36" s="22" t="inlineStr"/>
      <c r="L36" s="14" t="inlineStr"/>
      <c r="M36" s="22" t="inlineStr"/>
    </row>
    <row r="37" ht="44" customHeight="1">
      <c r="A37" s="14" t="inlineStr">
        <is>
          <t>TC-080</t>
        </is>
      </c>
      <c r="B37" s="21" t="inlineStr">
        <is>
          <t>Tiempo de ejecución de las Data Actions</t>
        </is>
      </c>
      <c r="C37" s="22" t="inlineStr">
        <is>
          <t>Rendimiento</t>
        </is>
      </c>
      <c r="D37" s="14" t="inlineStr">
        <is>
          <t>Todos</t>
        </is>
      </c>
      <c r="E37" s="23" t="inlineStr">
        <is>
          <t>Volumen representativo</t>
        </is>
      </c>
      <c r="F37" s="23" t="inlineStr">
        <is>
          <t>Medir el tiempo de ejecución de la Data Action</t>
        </is>
      </c>
      <c r="G37" s="23" t="inlineStr">
        <is>
          <t>≤ 60 s (objetivo)</t>
        </is>
      </c>
      <c r="H37" s="14" t="inlineStr">
        <is>
          <t>Media</t>
        </is>
      </c>
      <c r="I37" s="14" t="inlineStr">
        <is>
          <t>Pendiente</t>
        </is>
      </c>
      <c r="J37" s="23" t="inlineStr"/>
      <c r="K37" s="22" t="inlineStr"/>
      <c r="L37" s="14" t="inlineStr"/>
      <c r="M37" s="22" t="inlineStr"/>
    </row>
    <row r="38" ht="44" customHeight="1">
      <c r="A38" s="14" t="inlineStr">
        <is>
          <t>TC-081</t>
        </is>
      </c>
      <c r="B38" s="21" t="inlineStr">
        <is>
          <t>Tiempo de apertura y refresco de la story</t>
        </is>
      </c>
      <c r="C38" s="22" t="inlineStr">
        <is>
          <t>Rendimiento</t>
        </is>
      </c>
      <c r="D38" s="14" t="inlineStr">
        <is>
          <t>Todos</t>
        </is>
      </c>
      <c r="E38" s="23" t="inlineStr">
        <is>
          <t>—</t>
        </is>
      </c>
      <c r="F38" s="23" t="inlineStr">
        <is>
          <t>Medir el tiempo de carga de la story</t>
        </is>
      </c>
      <c r="G38" s="23" t="inlineStr">
        <is>
          <t>Dentro del umbral definido</t>
        </is>
      </c>
      <c r="H38" s="14" t="inlineStr">
        <is>
          <t>Baja</t>
        </is>
      </c>
      <c r="I38" s="14" t="inlineStr">
        <is>
          <t>Pendiente</t>
        </is>
      </c>
      <c r="J38" s="23" t="inlineStr"/>
      <c r="K38" s="22" t="inlineStr"/>
      <c r="L38" s="14" t="inlineStr"/>
      <c r="M38" s="22" t="inlineStr"/>
    </row>
    <row r="39" ht="44" customHeight="1">
      <c r="A39" s="14" t="inlineStr">
        <is>
          <t>TC-090</t>
        </is>
      </c>
      <c r="B39" s="21" t="inlineStr">
        <is>
          <t>Pruebas de regresión tras cambios</t>
        </is>
      </c>
      <c r="C39" s="22" t="inlineStr">
        <is>
          <t>Regresión / general</t>
        </is>
      </c>
      <c r="D39" s="14" t="inlineStr">
        <is>
          <t>Todos</t>
        </is>
      </c>
      <c r="E39" s="23" t="inlineStr">
        <is>
          <t>Cambio aplicado</t>
        </is>
      </c>
      <c r="F39" s="23" t="inlineStr">
        <is>
          <t>Re-ejecutar el conjunto de casos críticos</t>
        </is>
      </c>
      <c r="G39" s="23" t="inlineStr">
        <is>
          <t>Sin regresiones</t>
        </is>
      </c>
      <c r="H39" s="14" t="inlineStr">
        <is>
          <t>Alta</t>
        </is>
      </c>
      <c r="I39" s="14" t="inlineStr">
        <is>
          <t>Pendiente</t>
        </is>
      </c>
      <c r="J39" s="23" t="inlineStr"/>
      <c r="K39" s="22" t="inlineStr"/>
      <c r="L39" s="14" t="inlineStr"/>
      <c r="M39" s="22" t="inlineStr"/>
    </row>
    <row r="40" ht="44" customHeight="1">
      <c r="A40" s="14" t="inlineStr">
        <is>
          <t>TC-091</t>
        </is>
      </c>
      <c r="B40" s="21" t="inlineStr">
        <is>
          <t>Trazabilidad requerimiento ↔ caso de prueba</t>
        </is>
      </c>
      <c r="C40" s="22" t="inlineStr">
        <is>
          <t>Regresión / general</t>
        </is>
      </c>
      <c r="D40" s="14" t="inlineStr">
        <is>
          <t>Todos</t>
        </is>
      </c>
      <c r="E40" s="23" t="inlineStr">
        <is>
          <t>—</t>
        </is>
      </c>
      <c r="F40" s="23" t="inlineStr">
        <is>
          <t>Verificar que cada caso enlaza a un requerimiento</t>
        </is>
      </c>
      <c r="G40" s="23" t="inlineStr">
        <is>
          <t>Cobertura completa de requerimientos</t>
        </is>
      </c>
      <c r="H40" s="14" t="inlineStr">
        <is>
          <t>Media</t>
        </is>
      </c>
      <c r="I40" s="14" t="inlineStr">
        <is>
          <t>Pendiente</t>
        </is>
      </c>
      <c r="J40" s="23" t="inlineStr"/>
      <c r="K40" s="22" t="inlineStr"/>
      <c r="L40" s="14" t="inlineStr"/>
      <c r="M40" s="22" t="inlineStr"/>
    </row>
  </sheetData>
  <autoFilter ref="A2:M40"/>
  <mergeCells count="1">
    <mergeCell ref="A1:M1"/>
  </mergeCells>
  <conditionalFormatting sqref="I3:I40">
    <cfRule type="cellIs" priority="1" operator="equal" dxfId="0">
      <formula>"Pendiente"</formula>
    </cfRule>
    <cfRule type="cellIs" priority="2" operator="equal" dxfId="1">
      <formula>"Aprobado"</formula>
    </cfRule>
    <cfRule type="cellIs" priority="3" operator="equal" dxfId="2">
      <formula>"Fallido"</formula>
    </cfRule>
    <cfRule type="cellIs" priority="4" operator="equal" dxfId="3">
      <formula>"Bloqueado"</formula>
    </cfRule>
    <cfRule type="cellIs" priority="5" operator="equal" dxfId="4">
      <formula>"No aplica"</formula>
    </cfRule>
  </conditionalFormatting>
  <conditionalFormatting sqref="H3:H40">
    <cfRule type="cellIs" priority="6" operator="equal" dxfId="5">
      <formula>"Alta"</formula>
    </cfRule>
    <cfRule type="cellIs" priority="7" operator="equal" dxfId="6">
      <formula>"Media"</formula>
    </cfRule>
    <cfRule type="cellIs" priority="8" operator="equal" dxfId="0">
      <formula>"Baja"</formula>
    </cfRule>
  </conditionalFormatting>
  <dataValidations count="4">
    <dataValidation sqref="D3:D40" showDropDown="0" showInputMessage="0" showErrorMessage="0" allowBlank="1" type="list">
      <formula1>Listas!$C$2:$C$5</formula1>
    </dataValidation>
    <dataValidation sqref="H3:H40" showDropDown="0" showInputMessage="0" showErrorMessage="0" allowBlank="1" type="list">
      <formula1>Listas!$B$2:$B$4</formula1>
    </dataValidation>
    <dataValidation sqref="I3:I40" showDropDown="0" showInputMessage="0" showErrorMessage="0" allowBlank="1" type="list">
      <formula1>Listas!$A$2:$A$6</formula1>
    </dataValidation>
    <dataValidation sqref="C3:C40" showDropDown="0" showInputMessage="0" showErrorMessage="0" allowBlank="1" type="list">
      <formula1>Listas!$D$2:$D$11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12" customWidth="1" min="4" max="4"/>
    <col width="14" customWidth="1" min="5" max="5"/>
    <col width="14" customWidth="1" min="6" max="6"/>
    <col width="11" customWidth="1" min="7" max="7"/>
    <col width="30" customWidth="1" min="8" max="8"/>
  </cols>
  <sheetData>
    <row r="1" ht="22" customHeight="1">
      <c r="A1" s="1" t="inlineStr">
        <is>
          <t>REGISTRO DE DEFECTOS</t>
        </is>
      </c>
    </row>
    <row r="2">
      <c r="A2" s="12" t="inlineStr">
        <is>
          <t>ID</t>
        </is>
      </c>
      <c r="B2" s="12" t="inlineStr">
        <is>
          <t>Caso (TC)</t>
        </is>
      </c>
      <c r="C2" s="12" t="inlineStr">
        <is>
          <t>Descripción</t>
        </is>
      </c>
      <c r="D2" s="12" t="inlineStr">
        <is>
          <t>Severidad</t>
        </is>
      </c>
      <c r="E2" s="12" t="inlineStr">
        <is>
          <t>Estado</t>
        </is>
      </c>
      <c r="F2" s="12" t="inlineStr">
        <is>
          <t>Responsable</t>
        </is>
      </c>
      <c r="G2" s="12" t="inlineStr">
        <is>
          <t>Fecha</t>
        </is>
      </c>
      <c r="H2" s="12" t="inlineStr">
        <is>
          <t>Resolución</t>
        </is>
      </c>
    </row>
    <row r="3" ht="26" customHeight="1">
      <c r="A3" s="14" t="inlineStr">
        <is>
          <t>DEF-001</t>
        </is>
      </c>
      <c r="B3" s="14" t="inlineStr">
        <is>
          <t>TC-024</t>
        </is>
      </c>
      <c r="C3" s="23" t="inlineStr">
        <is>
          <t>(ejemplo) El P&amp;G consolidado no cuadra por CEBE</t>
        </is>
      </c>
      <c r="D3" s="14" t="inlineStr">
        <is>
          <t>Alta</t>
        </is>
      </c>
      <c r="E3" s="14" t="inlineStr">
        <is>
          <t>Abierto</t>
        </is>
      </c>
      <c r="F3" s="22" t="inlineStr">
        <is>
          <t>(responsable)</t>
        </is>
      </c>
      <c r="G3" s="14" t="inlineStr"/>
      <c r="H3" s="23" t="inlineStr">
        <is>
          <t>(pendiente)</t>
        </is>
      </c>
    </row>
    <row r="4" ht="26" customHeight="1">
      <c r="A4" s="14" t="inlineStr"/>
      <c r="B4" s="14" t="inlineStr"/>
      <c r="C4" s="23" t="inlineStr"/>
      <c r="D4" s="14" t="inlineStr"/>
      <c r="E4" s="14" t="inlineStr"/>
      <c r="F4" s="22" t="inlineStr"/>
      <c r="G4" s="14" t="inlineStr"/>
      <c r="H4" s="23" t="inlineStr"/>
    </row>
    <row r="5" ht="26" customHeight="1">
      <c r="A5" s="14" t="inlineStr"/>
      <c r="B5" s="14" t="inlineStr"/>
      <c r="C5" s="23" t="inlineStr"/>
      <c r="D5" s="14" t="inlineStr"/>
      <c r="E5" s="14" t="inlineStr"/>
      <c r="F5" s="22" t="inlineStr"/>
      <c r="G5" s="14" t="inlineStr"/>
      <c r="H5" s="23" t="inlineStr"/>
    </row>
    <row r="6" ht="26" customHeight="1">
      <c r="A6" s="14" t="inlineStr"/>
      <c r="B6" s="14" t="inlineStr"/>
      <c r="C6" s="23" t="inlineStr"/>
      <c r="D6" s="14" t="inlineStr"/>
      <c r="E6" s="14" t="inlineStr"/>
      <c r="F6" s="22" t="inlineStr"/>
      <c r="G6" s="14" t="inlineStr"/>
      <c r="H6" s="23" t="inlineStr"/>
    </row>
    <row r="7" ht="26" customHeight="1">
      <c r="A7" s="14" t="inlineStr"/>
      <c r="B7" s="14" t="inlineStr"/>
      <c r="C7" s="23" t="inlineStr"/>
      <c r="D7" s="14" t="inlineStr"/>
      <c r="E7" s="14" t="inlineStr"/>
      <c r="F7" s="22" t="inlineStr"/>
      <c r="G7" s="14" t="inlineStr"/>
      <c r="H7" s="23" t="inlineStr"/>
    </row>
    <row r="8" ht="26" customHeight="1">
      <c r="A8" s="14" t="inlineStr"/>
      <c r="B8" s="14" t="inlineStr"/>
      <c r="C8" s="23" t="inlineStr"/>
      <c r="D8" s="14" t="inlineStr"/>
      <c r="E8" s="14" t="inlineStr"/>
      <c r="F8" s="22" t="inlineStr"/>
      <c r="G8" s="14" t="inlineStr"/>
      <c r="H8" s="23" t="inlineStr"/>
    </row>
    <row r="9" ht="26" customHeight="1">
      <c r="A9" s="14" t="inlineStr"/>
      <c r="B9" s="14" t="inlineStr"/>
      <c r="C9" s="23" t="inlineStr"/>
      <c r="D9" s="14" t="inlineStr"/>
      <c r="E9" s="14" t="inlineStr"/>
      <c r="F9" s="22" t="inlineStr"/>
      <c r="G9" s="14" t="inlineStr"/>
      <c r="H9" s="23" t="inlineStr"/>
    </row>
    <row r="10" ht="26" customHeight="1">
      <c r="A10" s="14" t="inlineStr"/>
      <c r="B10" s="14" t="inlineStr"/>
      <c r="C10" s="23" t="inlineStr"/>
      <c r="D10" s="14" t="inlineStr"/>
      <c r="E10" s="14" t="inlineStr"/>
      <c r="F10" s="22" t="inlineStr"/>
      <c r="G10" s="14" t="inlineStr"/>
      <c r="H10" s="23" t="inlineStr"/>
    </row>
    <row r="11" ht="26" customHeight="1">
      <c r="A11" s="14" t="inlineStr"/>
      <c r="B11" s="14" t="inlineStr"/>
      <c r="C11" s="23" t="inlineStr"/>
      <c r="D11" s="14" t="inlineStr"/>
      <c r="E11" s="14" t="inlineStr"/>
      <c r="F11" s="22" t="inlineStr"/>
      <c r="G11" s="14" t="inlineStr"/>
      <c r="H11" s="23" t="inlineStr"/>
    </row>
    <row r="12" ht="26" customHeight="1">
      <c r="A12" s="14" t="inlineStr"/>
      <c r="B12" s="14" t="inlineStr"/>
      <c r="C12" s="23" t="inlineStr"/>
      <c r="D12" s="14" t="inlineStr"/>
      <c r="E12" s="14" t="inlineStr"/>
      <c r="F12" s="22" t="inlineStr"/>
      <c r="G12" s="14" t="inlineStr"/>
      <c r="H12" s="23" t="inlineStr"/>
    </row>
    <row r="13" ht="26" customHeight="1">
      <c r="A13" s="14" t="inlineStr"/>
      <c r="B13" s="14" t="inlineStr"/>
      <c r="C13" s="23" t="inlineStr"/>
      <c r="D13" s="14" t="inlineStr"/>
      <c r="E13" s="14" t="inlineStr"/>
      <c r="F13" s="22" t="inlineStr"/>
      <c r="G13" s="14" t="inlineStr"/>
      <c r="H13" s="23" t="inlineStr"/>
    </row>
    <row r="14" ht="26" customHeight="1">
      <c r="A14" s="14" t="inlineStr"/>
      <c r="B14" s="14" t="inlineStr"/>
      <c r="C14" s="23" t="inlineStr"/>
      <c r="D14" s="14" t="inlineStr"/>
      <c r="E14" s="14" t="inlineStr"/>
      <c r="F14" s="22" t="inlineStr"/>
      <c r="G14" s="14" t="inlineStr"/>
      <c r="H14" s="23" t="inlineStr"/>
    </row>
    <row r="15" ht="26" customHeight="1">
      <c r="A15" s="14" t="inlineStr"/>
      <c r="B15" s="14" t="inlineStr"/>
      <c r="C15" s="23" t="inlineStr"/>
      <c r="D15" s="14" t="inlineStr"/>
      <c r="E15" s="14" t="inlineStr"/>
      <c r="F15" s="22" t="inlineStr"/>
      <c r="G15" s="14" t="inlineStr"/>
      <c r="H15" s="23" t="inlineStr"/>
    </row>
    <row r="16" ht="26" customHeight="1">
      <c r="A16" s="14" t="inlineStr"/>
      <c r="B16" s="14" t="inlineStr"/>
      <c r="C16" s="23" t="inlineStr"/>
      <c r="D16" s="14" t="inlineStr"/>
      <c r="E16" s="14" t="inlineStr"/>
      <c r="F16" s="22" t="inlineStr"/>
      <c r="G16" s="14" t="inlineStr"/>
      <c r="H16" s="23" t="inlineStr"/>
    </row>
    <row r="17" ht="26" customHeight="1">
      <c r="A17" s="14" t="inlineStr"/>
      <c r="B17" s="14" t="inlineStr"/>
      <c r="C17" s="23" t="inlineStr"/>
      <c r="D17" s="14" t="inlineStr"/>
      <c r="E17" s="14" t="inlineStr"/>
      <c r="F17" s="22" t="inlineStr"/>
      <c r="G17" s="14" t="inlineStr"/>
      <c r="H17" s="23" t="inlineStr"/>
    </row>
  </sheetData>
  <autoFilter ref="A2:H17"/>
  <mergeCells count="1">
    <mergeCell ref="A1:H1"/>
  </mergeCells>
  <dataValidations count="2">
    <dataValidation sqref="D3:D17" showDropDown="0" showInputMessage="0" showErrorMessage="0" allowBlank="1" type="list">
      <formula1>Listas!$F$2:$F$5</formula1>
    </dataValidation>
    <dataValidation sqref="E3:E17" showDropDown="0" showInputMessage="0" showErrorMessage="0" allowBlank="1" type="list">
      <formula1>Listas!$E$2:$E$6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2026-09-08T13:59:04Z</dcterms:created>
  <dcterms:modified xsi:type="dcterms:W3CDTF">2026-09-08T13:59:04Z</dcterms:modified>
</cp:coreProperties>
</file>